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Projects\generating_lab_assignments\support_materials\"/>
    </mc:Choice>
  </mc:AlternateContent>
  <xr:revisionPtr revIDLastSave="0" documentId="13_ncr:1_{B54CF2E1-099A-4854-91AB-173B126C60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Примерный учебный план" sheetId="1" r:id="rId1"/>
    <sheet name="Лист1" sheetId="2" r:id="rId2"/>
    <sheet name="Лист2" sheetId="3" r:id="rId3"/>
    <sheet name="Лист3" sheetId="4" r:id="rId4"/>
    <sheet name="Лист4" sheetId="5" r:id="rId5"/>
  </sheets>
  <definedNames>
    <definedName name="_xlnm._FilterDatabase" localSheetId="0" hidden="1">'Примерный учебный план'!$A$1:$E$42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9" i="4" l="1"/>
  <c r="K38" i="4"/>
  <c r="G32" i="4"/>
  <c r="N31" i="4"/>
  <c r="F31" i="4"/>
  <c r="E31" i="4"/>
  <c r="E33" i="4" s="1"/>
  <c r="D31" i="4"/>
  <c r="D33" i="4" s="1"/>
  <c r="J30" i="4"/>
  <c r="G30" i="4"/>
  <c r="K30" i="4" s="1"/>
  <c r="M30" i="4" s="1"/>
  <c r="K29" i="4"/>
  <c r="M29" i="4" s="1"/>
  <c r="G29" i="4"/>
  <c r="J29" i="4" s="1"/>
  <c r="G28" i="4"/>
  <c r="K28" i="4" s="1"/>
  <c r="M28" i="4" s="1"/>
  <c r="G27" i="4"/>
  <c r="J27" i="4" s="1"/>
  <c r="G26" i="4"/>
  <c r="K26" i="4" s="1"/>
  <c r="M26" i="4" s="1"/>
  <c r="M25" i="4"/>
  <c r="J25" i="4"/>
  <c r="G25" i="4"/>
  <c r="K24" i="4"/>
  <c r="M24" i="4" s="1"/>
  <c r="G24" i="4"/>
  <c r="J24" i="4" s="1"/>
  <c r="G23" i="4"/>
  <c r="K23" i="4" s="1"/>
  <c r="M23" i="4" s="1"/>
  <c r="K22" i="4"/>
  <c r="M22" i="4" s="1"/>
  <c r="G22" i="4"/>
  <c r="J22" i="4" s="1"/>
  <c r="G21" i="4"/>
  <c r="K21" i="4" s="1"/>
  <c r="M21" i="4" s="1"/>
  <c r="G20" i="4"/>
  <c r="J20" i="4" s="1"/>
  <c r="K19" i="4"/>
  <c r="M19" i="4" s="1"/>
  <c r="J19" i="4"/>
  <c r="G19" i="4"/>
  <c r="M18" i="4"/>
  <c r="G18" i="4"/>
  <c r="J18" i="4" s="1"/>
  <c r="G17" i="4"/>
  <c r="J17" i="4" s="1"/>
  <c r="M16" i="4"/>
  <c r="G16" i="4"/>
  <c r="J16" i="4" s="1"/>
  <c r="G15" i="4"/>
  <c r="K15" i="4" s="1"/>
  <c r="M15" i="4" s="1"/>
  <c r="M14" i="4"/>
  <c r="G14" i="4"/>
  <c r="J14" i="4" s="1"/>
  <c r="J13" i="4"/>
  <c r="G13" i="4"/>
  <c r="K13" i="4" s="1"/>
  <c r="M13" i="4" s="1"/>
  <c r="M12" i="4"/>
  <c r="G12" i="4"/>
  <c r="J12" i="4" s="1"/>
  <c r="K11" i="4"/>
  <c r="M11" i="4" s="1"/>
  <c r="G11" i="4"/>
  <c r="J11" i="4" s="1"/>
  <c r="K10" i="4"/>
  <c r="M10" i="4" s="1"/>
  <c r="G10" i="4"/>
  <c r="J10" i="4" s="1"/>
  <c r="G9" i="4"/>
  <c r="J9" i="4" s="1"/>
  <c r="G8" i="4"/>
  <c r="K8" i="4" s="1"/>
  <c r="M8" i="4" s="1"/>
  <c r="G7" i="4"/>
  <c r="J7" i="4" s="1"/>
  <c r="P4" i="4"/>
  <c r="O4" i="4"/>
  <c r="N4" i="4"/>
  <c r="K4" i="4"/>
  <c r="J4" i="4"/>
  <c r="J8" i="4" l="1"/>
  <c r="K20" i="4"/>
  <c r="M20" i="4" s="1"/>
  <c r="J23" i="4"/>
  <c r="K9" i="4"/>
  <c r="M9" i="4" s="1"/>
  <c r="J15" i="4"/>
  <c r="J26" i="4"/>
  <c r="J21" i="4"/>
  <c r="K7" i="4"/>
  <c r="K31" i="4" s="1"/>
  <c r="K27" i="4"/>
  <c r="M27" i="4" s="1"/>
  <c r="G31" i="4"/>
  <c r="J28" i="4"/>
  <c r="K17" i="4"/>
  <c r="M17" i="4" s="1"/>
  <c r="F33" i="4"/>
  <c r="M7" i="4" l="1"/>
  <c r="M31" i="4" s="1"/>
</calcChain>
</file>

<file path=xl/sharedStrings.xml><?xml version="1.0" encoding="utf-8"?>
<sst xmlns="http://schemas.openxmlformats.org/spreadsheetml/2006/main" count="348" uniqueCount="306">
  <si>
    <t>Лабораторные</t>
  </si>
  <si>
    <t>Практические</t>
  </si>
  <si>
    <t>1.</t>
  </si>
  <si>
    <t>Государственный компонент</t>
  </si>
  <si>
    <t>1.1</t>
  </si>
  <si>
    <t>1.1.1</t>
  </si>
  <si>
    <t>1.1.2</t>
  </si>
  <si>
    <t>1.1.3</t>
  </si>
  <si>
    <t>1.2</t>
  </si>
  <si>
    <t>Модуль «Профессиональная лексика»</t>
  </si>
  <si>
    <t xml:space="preserve"> </t>
  </si>
  <si>
    <t>1.2.1</t>
  </si>
  <si>
    <t>Белорусский язык (профессиональная лексика)</t>
  </si>
  <si>
    <t>1.2.2</t>
  </si>
  <si>
    <t>Иностранный язык</t>
  </si>
  <si>
    <t>УК-3</t>
  </si>
  <si>
    <t>1.3</t>
  </si>
  <si>
    <t>Математический анализ</t>
  </si>
  <si>
    <t>1.4</t>
  </si>
  <si>
    <t>Модуль «Дополнительные главы математики»</t>
  </si>
  <si>
    <t xml:space="preserve">Дискретная математика </t>
  </si>
  <si>
    <t>БПК-4</t>
  </si>
  <si>
    <t>1.4.3</t>
  </si>
  <si>
    <t>Математическое программирование</t>
  </si>
  <si>
    <t>БПК-5</t>
  </si>
  <si>
    <t>1.5</t>
  </si>
  <si>
    <t>Физика</t>
  </si>
  <si>
    <t>БПК-6</t>
  </si>
  <si>
    <t>1.6</t>
  </si>
  <si>
    <t>БПК-7</t>
  </si>
  <si>
    <t>1.7</t>
  </si>
  <si>
    <t>Основы бизнеса и права в сфере инфокоммуникационных технологий</t>
  </si>
  <si>
    <t>1.8</t>
  </si>
  <si>
    <t>1.8.1</t>
  </si>
  <si>
    <t>Введение в разработку программного обеспечения</t>
  </si>
  <si>
    <t>1.8.2</t>
  </si>
  <si>
    <t>Основы алгоритмизации и программирования</t>
  </si>
  <si>
    <t>1.8.3</t>
  </si>
  <si>
    <t>Объектно-ориентированное проектирование и программирование (ГЭ)</t>
  </si>
  <si>
    <t>БПК-11</t>
  </si>
  <si>
    <t>1.8.4</t>
  </si>
  <si>
    <t xml:space="preserve">Высокоуровневые языки программирования </t>
  </si>
  <si>
    <t>1.9</t>
  </si>
  <si>
    <t>1.9.1</t>
  </si>
  <si>
    <t>Скриптовые языки программирования</t>
  </si>
  <si>
    <t>1.9.2</t>
  </si>
  <si>
    <t>Базы данных (ГЭ)</t>
  </si>
  <si>
    <t>БПК-14</t>
  </si>
  <si>
    <t>1.9.3</t>
  </si>
  <si>
    <t>Компьютерные сети</t>
  </si>
  <si>
    <t>БПК-15</t>
  </si>
  <si>
    <t>1.9.4</t>
  </si>
  <si>
    <t>Современные технологии серверной разработки</t>
  </si>
  <si>
    <t>БПК-16</t>
  </si>
  <si>
    <t>1.10.1</t>
  </si>
  <si>
    <t>Программирование сетевых приложений (ГЭ)</t>
  </si>
  <si>
    <t>БПК-17</t>
  </si>
  <si>
    <t>1.10.2</t>
  </si>
  <si>
    <t>Средства и технологии анализа и разработки информационных систем (ГЭ)</t>
  </si>
  <si>
    <t>БПК-18</t>
  </si>
  <si>
    <t>1.10.3</t>
  </si>
  <si>
    <t>Инструменты поддержки промышленной разработки программного обеспечения</t>
  </si>
  <si>
    <t>2.</t>
  </si>
  <si>
    <t>2.1</t>
  </si>
  <si>
    <t>2.1.1</t>
  </si>
  <si>
    <t>2.1.2</t>
  </si>
  <si>
    <t>2.2</t>
  </si>
  <si>
    <t>Модуль «Общеинженерная подготовка»</t>
  </si>
  <si>
    <t>2.2.1</t>
  </si>
  <si>
    <t>Алгоритмические основы современной компьютерной графики/Растровая и векторная графика</t>
  </si>
  <si>
    <t>СК-3</t>
  </si>
  <si>
    <t>2.2.2</t>
  </si>
  <si>
    <t>Основы информационной безопасности</t>
  </si>
  <si>
    <t>СК-5</t>
  </si>
  <si>
    <t>2.2.3</t>
  </si>
  <si>
    <t>СК-25</t>
  </si>
  <si>
    <t>2.2.4</t>
  </si>
  <si>
    <t>2.3</t>
  </si>
  <si>
    <t>2.3.1</t>
  </si>
  <si>
    <t>Визуальные средства разработки программных приложений/Программирование на языке Java</t>
  </si>
  <si>
    <t>2.3.2</t>
  </si>
  <si>
    <t>Разработка приложений баз данных для информационных систем</t>
  </si>
  <si>
    <t>2.4</t>
  </si>
  <si>
    <t>2.4.1</t>
  </si>
  <si>
    <t>Программирование робототехнических систем на основе одноплатных компьютеров</t>
  </si>
  <si>
    <t>СК-10</t>
  </si>
  <si>
    <t>2.4.2</t>
  </si>
  <si>
    <t>Операционные системы</t>
  </si>
  <si>
    <t>СК-4</t>
  </si>
  <si>
    <t>2.4.3</t>
  </si>
  <si>
    <t>Архитектура ЭВМ</t>
  </si>
  <si>
    <t>2.4.4</t>
  </si>
  <si>
    <t>Интернет вещей</t>
  </si>
  <si>
    <t>СК-9</t>
  </si>
  <si>
    <t>2.4.5</t>
  </si>
  <si>
    <t xml:space="preserve">Распределенные информационные системы </t>
  </si>
  <si>
    <t>2.4.7</t>
  </si>
  <si>
    <t>Программирование на языке Ассемблера/                Основы цифровой электроники и схемотехники</t>
  </si>
  <si>
    <t>2.4.8</t>
  </si>
  <si>
    <t>Программирование встраиваемых систем</t>
  </si>
  <si>
    <t>2.4.9</t>
  </si>
  <si>
    <t xml:space="preserve"> Аппаратно-программное обеспечение БПЛА</t>
  </si>
  <si>
    <t>2.5</t>
  </si>
  <si>
    <t>2.5.1</t>
  </si>
  <si>
    <t>Основы автоматизации конструирования</t>
  </si>
  <si>
    <t>СК-23</t>
  </si>
  <si>
    <t>2.5.2</t>
  </si>
  <si>
    <t>Автоматизация технологического проектирования</t>
  </si>
  <si>
    <t>2.5.3</t>
  </si>
  <si>
    <t>Оптимизация проектных решений</t>
  </si>
  <si>
    <t>СК-11</t>
  </si>
  <si>
    <t>2.6</t>
  </si>
  <si>
    <t>2.6.1</t>
  </si>
  <si>
    <t>Введение в нейронные сети</t>
  </si>
  <si>
    <t>2.6.2</t>
  </si>
  <si>
    <t>Введение в кластерный анализ и классификацию</t>
  </si>
  <si>
    <t>2.6.3</t>
  </si>
  <si>
    <t>Нейросетевой анализ изображений</t>
  </si>
  <si>
    <t>2.6.4</t>
  </si>
  <si>
    <t xml:space="preserve">Базы знаний и поддержка принятия  решений  </t>
  </si>
  <si>
    <t>СК-17</t>
  </si>
  <si>
    <t>2.7</t>
  </si>
  <si>
    <t>2.7.1</t>
  </si>
  <si>
    <t>Разработка приложений для iPhone и  iPad</t>
  </si>
  <si>
    <t>СК-18</t>
  </si>
  <si>
    <t>2.7.2</t>
  </si>
  <si>
    <t xml:space="preserve">Проектирование и разработка корпоративных информационных систем </t>
  </si>
  <si>
    <t>СК-21</t>
  </si>
  <si>
    <t>2.7.3</t>
  </si>
  <si>
    <t>Тестирование программного обеспечения информационных систем</t>
  </si>
  <si>
    <t>СК-14</t>
  </si>
  <si>
    <t>2.7.4</t>
  </si>
  <si>
    <t xml:space="preserve">Введение в облачные вычисления </t>
  </si>
  <si>
    <t>2.7.5</t>
  </si>
  <si>
    <t>Разработка учетных приложений в 1CПредприятие /Разработка мобильных приложений для ОС Android</t>
  </si>
  <si>
    <t>2.8</t>
  </si>
  <si>
    <t>2.8.1</t>
  </si>
  <si>
    <t xml:space="preserve">Численные методы математической физики </t>
  </si>
  <si>
    <t>2.8.2</t>
  </si>
  <si>
    <t xml:space="preserve">Введение в математическое моделирование/      Основы вычислительной математики </t>
  </si>
  <si>
    <t>2.8.3</t>
  </si>
  <si>
    <t>Компьютерные системы конечноэлементных расчетов</t>
  </si>
  <si>
    <t>2.9</t>
  </si>
  <si>
    <t>2.9.1</t>
  </si>
  <si>
    <t>Основы web-дизайна и HTML</t>
  </si>
  <si>
    <t>2.9.2</t>
  </si>
  <si>
    <t>Программирование на Java Script</t>
  </si>
  <si>
    <t>2.9.3</t>
  </si>
  <si>
    <t>Современные технологии создания Web-систем</t>
  </si>
  <si>
    <t>3.</t>
  </si>
  <si>
    <t xml:space="preserve">Факультативные дисциплины </t>
  </si>
  <si>
    <t>3.1</t>
  </si>
  <si>
    <t>Физическая культура</t>
  </si>
  <si>
    <t>УК-12</t>
  </si>
  <si>
    <t>3.2</t>
  </si>
  <si>
    <t>УК-13</t>
  </si>
  <si>
    <t>Владеть основами исследовательской деятельности, осуществлять поиск, анализ и синтез информации</t>
  </si>
  <si>
    <t>Решать стандартные задачи профессиональной деятельности на основе применения информационно-коммуникационных технологий</t>
  </si>
  <si>
    <t>Работать в команде, толерантно воспринимать социальные, этнические, конфессиональные, культурные и иные различия</t>
  </si>
  <si>
    <t>1.4.1</t>
  </si>
  <si>
    <t>1.4.2</t>
  </si>
  <si>
    <t>БПК-9</t>
  </si>
  <si>
    <t>БПК-10</t>
  </si>
  <si>
    <t>БПК-12</t>
  </si>
  <si>
    <t>СК-6</t>
  </si>
  <si>
    <t>СК-8</t>
  </si>
  <si>
    <t>СК-22</t>
  </si>
  <si>
    <t>СК-24</t>
  </si>
  <si>
    <t>Модуль «Социально-гуманитарных дисциплин 1»</t>
  </si>
  <si>
    <r>
      <rPr>
        <sz val="16"/>
        <color rgb="FF000000"/>
        <rFont val="Times New Roman"/>
        <family val="1"/>
        <charset val="204"/>
      </rPr>
      <t>Философия</t>
    </r>
    <r>
      <rPr>
        <vertAlign val="superscript"/>
        <sz val="16"/>
        <color rgb="FF000000"/>
        <rFont val="Times New Roman"/>
        <family val="1"/>
        <charset val="204"/>
      </rPr>
      <t>1</t>
    </r>
  </si>
  <si>
    <t>УК-4,УК-8</t>
  </si>
  <si>
    <r>
      <rPr>
        <sz val="16"/>
        <color rgb="FF993300"/>
        <rFont val="Times New Roman"/>
        <family val="1"/>
        <charset val="204"/>
      </rPr>
      <t>Экономика</t>
    </r>
    <r>
      <rPr>
        <vertAlign val="superscript"/>
        <sz val="16"/>
        <color rgb="FF993300"/>
        <rFont val="Times New Roman"/>
        <family val="1"/>
        <charset val="204"/>
      </rPr>
      <t>1</t>
    </r>
  </si>
  <si>
    <t>УК-4, УК-10</t>
  </si>
  <si>
    <r>
      <rPr>
        <sz val="16"/>
        <color rgb="FF993300"/>
        <rFont val="Times New Roman"/>
        <family val="1"/>
        <charset val="204"/>
      </rPr>
      <t>Политология</t>
    </r>
    <r>
      <rPr>
        <vertAlign val="superscript"/>
        <sz val="16"/>
        <color rgb="FF993300"/>
        <rFont val="Times New Roman"/>
        <family val="1"/>
        <charset val="204"/>
      </rPr>
      <t>1</t>
    </r>
  </si>
  <si>
    <t>УК-4, УК-7</t>
  </si>
  <si>
    <t>1.1.4</t>
  </si>
  <si>
    <r>
      <rPr>
        <sz val="16"/>
        <color rgb="FF993300"/>
        <rFont val="Times New Roman"/>
        <family val="1"/>
        <charset val="204"/>
      </rPr>
      <t>История</t>
    </r>
    <r>
      <rPr>
        <vertAlign val="superscript"/>
        <sz val="16"/>
        <color rgb="FF993300"/>
        <rFont val="Times New Roman"/>
        <family val="1"/>
        <charset val="204"/>
      </rPr>
      <t>1</t>
    </r>
  </si>
  <si>
    <t>УК-4, УК-9, УК-11</t>
  </si>
  <si>
    <t>Осуществлять коммуникации, в том числе на иностранном языке, для решения задач межличностного, профессионального и межкультурного взаимодействия</t>
  </si>
  <si>
    <t>УК-12, БПК-1,БПК-3</t>
  </si>
  <si>
    <t>Математическая логика</t>
  </si>
  <si>
    <t>Теория вероятностей</t>
  </si>
  <si>
    <t>1.4.4</t>
  </si>
  <si>
    <t>Избранные главы информатики</t>
  </si>
  <si>
    <t>УК-2, БПК-8</t>
  </si>
  <si>
    <t>Модуль "Прикладная математическая подготовка"</t>
  </si>
  <si>
    <t>Аналитическая геометрия и линейная алгебра</t>
  </si>
  <si>
    <t>УК-12, БПК-1</t>
  </si>
  <si>
    <t>Основы высшей алгебры</t>
  </si>
  <si>
    <t>УК-12, БПК-2</t>
  </si>
  <si>
    <t>Прикладные задачи математического анализа</t>
  </si>
  <si>
    <t>Курсовая работа по курсу Прикладные задачи математического анализа</t>
  </si>
  <si>
    <t>УК-1, УК-5, УК-6, БПК-12</t>
  </si>
  <si>
    <t>Алгоритмы и структуры данных</t>
  </si>
  <si>
    <t>УК-12, БПК-13</t>
  </si>
  <si>
    <t>Модуль "Программирование"</t>
  </si>
  <si>
    <t>Объектно-ориентированное программирование</t>
  </si>
  <si>
    <t xml:space="preserve">Курсовой проект по курсу "Объектно-ориентированное программирование" </t>
  </si>
  <si>
    <t>УК-1, УК-5, УК-6, БПК-14</t>
  </si>
  <si>
    <t>Программирование</t>
  </si>
  <si>
    <t>Конструирование программ</t>
  </si>
  <si>
    <t>1.10.</t>
  </si>
  <si>
    <t>Операционные среды и системное программирование</t>
  </si>
  <si>
    <t>курсовой проект по дисциплине "Операционные среды и системное программирование"</t>
  </si>
  <si>
    <t>УК-1, УК-5, УК-6, БПК-17</t>
  </si>
  <si>
    <t>1.11</t>
  </si>
  <si>
    <t>Модели данных и системы управления базами данных</t>
  </si>
  <si>
    <t>Курсовой проект по курсу "Модели данных и системы управления базами данных"</t>
  </si>
  <si>
    <t>УК-1, УК-5, УК-6, БПК-18</t>
  </si>
  <si>
    <t>Компонент учреждения образования</t>
  </si>
  <si>
    <t>Модуль «Социально-гуманитарный »</t>
  </si>
  <si>
    <t>Философские аспекты развития техники / Великая Отечественная война советского народа (в контексте Второй мировой войны)</t>
  </si>
  <si>
    <t>УК-4, УК-14/ УК-4,УК-9, УК-15</t>
  </si>
  <si>
    <t>Маркетинг программного продукта и услуг / Политические  институты и процессы в информационном обществе</t>
  </si>
  <si>
    <t>УК-4,СК-1/ УК-4, УК-7, СК-2</t>
  </si>
  <si>
    <t>2.1.3</t>
  </si>
  <si>
    <t>Логика</t>
  </si>
  <si>
    <t>Основами управления интеллектуальной собственностью</t>
  </si>
  <si>
    <t>Метрология, стандартизация и сертификация (в информационных технологиях)</t>
  </si>
  <si>
    <t>Основы компьютерной графики</t>
  </si>
  <si>
    <t>2.2.5</t>
  </si>
  <si>
    <r>
      <rPr>
        <sz val="16"/>
        <color rgb="FF993300"/>
        <rFont val="Times New Roman"/>
        <family val="1"/>
        <charset val="204"/>
      </rPr>
      <t>Безопасность жизнедеятельности человека</t>
    </r>
    <r>
      <rPr>
        <vertAlign val="superscript"/>
        <sz val="16"/>
        <color rgb="FF993300"/>
        <rFont val="Times New Roman"/>
        <family val="1"/>
        <charset val="204"/>
      </rPr>
      <t>2</t>
    </r>
  </si>
  <si>
    <t>Методы численного анализа</t>
  </si>
  <si>
    <t>УК-12, СК-7</t>
  </si>
  <si>
    <t xml:space="preserve">Инструменты и средства программирования </t>
  </si>
  <si>
    <t>Архитектура вычислительных систем</t>
  </si>
  <si>
    <t>Курсовой проект по курсу "Архитектура вычислительных систем"</t>
  </si>
  <si>
    <t>УК-1, УК-5, УК-6, СК-9</t>
  </si>
  <si>
    <t>Модуль "Модели управления и обработки данных"</t>
  </si>
  <si>
    <t>Методы оптимизации и управления</t>
  </si>
  <si>
    <t>Обработка экспериментальных данных</t>
  </si>
  <si>
    <t>Технологии  обработки финансовой документации/Основы бизнес-анализа</t>
  </si>
  <si>
    <t>СК-12/СК-13</t>
  </si>
  <si>
    <t>Модуль "Разработка прикладного программного обеспечения"</t>
  </si>
  <si>
    <t xml:space="preserve">Современные технологии разработки  web-приложений </t>
  </si>
  <si>
    <t>Современные платформы прикладной разработки /Технологии обработки больших данных</t>
  </si>
  <si>
    <t>СК-15/СК-16</t>
  </si>
  <si>
    <t>Верификация программного обеспечения</t>
  </si>
  <si>
    <t>Модуль  "Специальные технологии программирования"</t>
  </si>
  <si>
    <t>Методы трансляции</t>
  </si>
  <si>
    <t>Программирование мобильных приложений/Программирование встроеных систем</t>
  </si>
  <si>
    <t>СК-19/СК-20</t>
  </si>
  <si>
    <t>Модуль "Специальные математические методы исследования сложных систем"</t>
  </si>
  <si>
    <t>Системный анализ и исследование операций</t>
  </si>
  <si>
    <t>Имитационное и статистическое моделирование</t>
  </si>
  <si>
    <t>2.10</t>
  </si>
  <si>
    <t>Модуль "Защита информации в комппьютерных системах"</t>
  </si>
  <si>
    <t>2.10.1</t>
  </si>
  <si>
    <t>Методы защиты информации</t>
  </si>
  <si>
    <t>2.10.2</t>
  </si>
  <si>
    <t>Информационные сети. Основы безопасности</t>
  </si>
  <si>
    <t>2.11</t>
  </si>
  <si>
    <t>Модуль "Технологии управления разработкой ПО"</t>
  </si>
  <si>
    <t>2.11.1</t>
  </si>
  <si>
    <t xml:space="preserve">Технологии разработки программного обеспечения													
</t>
  </si>
  <si>
    <t>2.11.2</t>
  </si>
  <si>
    <t xml:space="preserve">Управление разработкой программного обеспечения													/Товарная политики ИТ-компаний
</t>
  </si>
  <si>
    <t>СК-26/СК-27</t>
  </si>
  <si>
    <t>УК-16</t>
  </si>
  <si>
    <t>Коррупция и ее общественная опасность</t>
  </si>
  <si>
    <t>СК-28</t>
  </si>
  <si>
    <t>экз</t>
  </si>
  <si>
    <t>зач</t>
  </si>
  <si>
    <t>Ин.язык специальности</t>
  </si>
  <si>
    <t>Фил. аспекты  науки\вов</t>
  </si>
  <si>
    <t>Маркетинг прогр.продуктов</t>
  </si>
  <si>
    <t>Основы web-программирован</t>
  </si>
  <si>
    <t>Основы инф безопасности</t>
  </si>
  <si>
    <t>Основы скриптового програм</t>
  </si>
  <si>
    <t>Основы упра интеллект собств</t>
  </si>
  <si>
    <t>Программирование МЧА</t>
  </si>
  <si>
    <t>Языки программир выс уров</t>
  </si>
  <si>
    <t>Архитектура ВС</t>
  </si>
  <si>
    <t>Методы оптимиз и упр</t>
  </si>
  <si>
    <t>Интер-техн и распред обр дан</t>
  </si>
  <si>
    <t>Корпоративные ИС</t>
  </si>
  <si>
    <t>Разраб прилож для интернет</t>
  </si>
  <si>
    <t>Тестир и вериф ПО</t>
  </si>
  <si>
    <t>Технолог обработ больш дан</t>
  </si>
  <si>
    <t>Программир мобильных прил</t>
  </si>
  <si>
    <t>Прогр нейронных  сетей</t>
  </si>
  <si>
    <t>Сист анализ и исслед опер</t>
  </si>
  <si>
    <t>Матем мод сложных сист</t>
  </si>
  <si>
    <t>Комп сети и сетев программир</t>
  </si>
  <si>
    <t>Технолог разработки ПО</t>
  </si>
  <si>
    <t>Управл. разработ ПО</t>
  </si>
  <si>
    <t xml:space="preserve">№
</t>
  </si>
  <si>
    <t>Название учебной дисциплины</t>
  </si>
  <si>
    <t>Способ варьирования 1</t>
  </si>
  <si>
    <t>Способ варьирования 2</t>
  </si>
  <si>
    <t>Способ варьирования 3</t>
  </si>
  <si>
    <t>1.      Предметная область.</t>
  </si>
  <si>
    <t>2.      Наборы входных данных.</t>
  </si>
  <si>
    <t>3.      Формат выходных данных (результатов).</t>
  </si>
  <si>
    <t>4.      Алгоритмические требования.</t>
  </si>
  <si>
    <t>5.      Ограничения на ресурсы и модули.</t>
  </si>
  <si>
    <t>6.      Стек инструментов и технологий.</t>
  </si>
  <si>
    <t>Способ варьирования 4</t>
  </si>
  <si>
    <t>5, 6</t>
  </si>
  <si>
    <t>Способы варьирования</t>
  </si>
  <si>
    <t>Дисциплина</t>
  </si>
  <si>
    <t>Параметр варьирорвания</t>
  </si>
  <si>
    <t>Лабораторная работа</t>
  </si>
  <si>
    <t>да</t>
  </si>
  <si>
    <t>нет</t>
  </si>
  <si>
    <t>Необходимость сохранения значения параметра для одинакового варианта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</si>
</sst>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Br&quot;_-;\-* #,##0.00\ &quot;Br&quot;_-;_-* &quot;-&quot;??\ &quot;Br&quot;_-;_-@_-"/>
    <numFmt numFmtId="164" formatCode="0.0"/>
  </numFmts>
  <fonts count="21" x14ac:knownFonts="1">
    <font>
      <sz val="10"/>
      <name val="Arial Cyr"/>
      <charset val="204"/>
    </font>
    <font>
      <sz val="10"/>
      <name val="Arial"/>
      <charset val="204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i/>
      <sz val="18"/>
      <color rgb="FF000000"/>
      <name val="Times New Roman"/>
      <family val="1"/>
      <charset val="204"/>
    </font>
    <font>
      <b/>
      <i/>
      <sz val="16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vertAlign val="superscript"/>
      <sz val="16"/>
      <color rgb="FF000000"/>
      <name val="Times New Roman"/>
      <family val="1"/>
      <charset val="204"/>
    </font>
    <font>
      <sz val="16"/>
      <color rgb="FF993300"/>
      <name val="Times New Roman"/>
      <family val="1"/>
      <charset val="204"/>
    </font>
    <font>
      <vertAlign val="superscript"/>
      <sz val="16"/>
      <color rgb="FF993300"/>
      <name val="Times New Roman"/>
      <family val="1"/>
      <charset val="204"/>
    </font>
    <font>
      <b/>
      <i/>
      <sz val="16"/>
      <color rgb="FF993300"/>
      <name val="Times New Roman"/>
      <family val="1"/>
      <charset val="204"/>
    </font>
    <font>
      <b/>
      <sz val="16"/>
      <color rgb="FF9933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Arial Cyr"/>
      <charset val="204"/>
    </font>
    <font>
      <sz val="11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name val="Arial Cyr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99CC00"/>
        <bgColor rgb="FFFFCC00"/>
      </patternFill>
    </fill>
    <fill>
      <patternFill patternType="solid">
        <fgColor rgb="FFFF0000"/>
        <bgColor rgb="FFC9211E"/>
      </patternFill>
    </fill>
    <fill>
      <patternFill patternType="solid">
        <fgColor rgb="FF99CCFF"/>
        <bgColor rgb="FFCCCCFF"/>
      </patternFill>
    </fill>
    <fill>
      <patternFill patternType="solid">
        <fgColor rgb="FF993300"/>
        <bgColor rgb="FFC9211E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0" fontId="2" fillId="0" borderId="0" applyBorder="0" applyProtection="0"/>
  </cellStyleXfs>
  <cellXfs count="82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left" vertical="center"/>
    </xf>
    <xf numFmtId="49" fontId="7" fillId="4" borderId="4" xfId="0" applyNumberFormat="1" applyFont="1" applyFill="1" applyBorder="1" applyAlignment="1">
      <alignment horizontal="left" vertical="center"/>
    </xf>
    <xf numFmtId="49" fontId="9" fillId="4" borderId="4" xfId="0" applyNumberFormat="1" applyFont="1" applyFill="1" applyBorder="1" applyAlignment="1">
      <alignment horizontal="left" vertical="center"/>
    </xf>
    <xf numFmtId="49" fontId="11" fillId="4" borderId="2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7" fillId="4" borderId="2" xfId="0" applyNumberFormat="1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left" vertical="top"/>
    </xf>
    <xf numFmtId="49" fontId="11" fillId="3" borderId="4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12" fillId="4" borderId="2" xfId="0" applyNumberFormat="1" applyFont="1" applyFill="1" applyBorder="1" applyAlignment="1">
      <alignment horizontal="left" vertical="center"/>
    </xf>
    <xf numFmtId="49" fontId="9" fillId="4" borderId="4" xfId="0" applyNumberFormat="1" applyFont="1" applyFill="1" applyBorder="1" applyAlignment="1">
      <alignment horizontal="left" vertical="top"/>
    </xf>
    <xf numFmtId="49" fontId="7" fillId="4" borderId="4" xfId="0" applyNumberFormat="1" applyFont="1" applyFill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right"/>
    </xf>
    <xf numFmtId="164" fontId="0" fillId="0" borderId="0" xfId="0" applyNumberForma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9" fillId="0" borderId="0" xfId="0" applyFont="1"/>
    <xf numFmtId="44" fontId="17" fillId="0" borderId="6" xfId="1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vertical="center"/>
    </xf>
    <xf numFmtId="49" fontId="15" fillId="9" borderId="6" xfId="0" applyNumberFormat="1" applyFont="1" applyFill="1" applyBorder="1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49" fontId="15" fillId="9" borderId="6" xfId="0" applyNumberFormat="1" applyFont="1" applyFill="1" applyBorder="1" applyAlignment="1">
      <alignment horizontal="center" vertical="center"/>
    </xf>
    <xf numFmtId="49" fontId="15" fillId="9" borderId="6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1" fillId="3" borderId="5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6" xfId="0" applyBorder="1"/>
    <xf numFmtId="0" fontId="20" fillId="0" borderId="6" xfId="0" applyFont="1" applyBorder="1" applyAlignment="1">
      <alignment wrapText="1"/>
    </xf>
    <xf numFmtId="0" fontId="0" fillId="0" borderId="0" xfId="0" applyAlignment="1">
      <alignment wrapText="1"/>
    </xf>
  </cellXfs>
  <cellStyles count="3">
    <cellStyle name="Денежный" xfId="1" builtinId="4"/>
    <cellStyle name="мой стиль" xfId="2" xr:uid="{00000000-0005-0000-0000-000001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FF383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F1036"/>
  <sheetViews>
    <sheetView showZeros="0" tabSelected="1" zoomScaleNormal="100" workbookViewId="0">
      <selection activeCell="B1" sqref="B1"/>
    </sheetView>
  </sheetViews>
  <sheetFormatPr defaultColWidth="1.28515625" defaultRowHeight="15" x14ac:dyDescent="0.25"/>
  <cols>
    <col min="1" max="1" width="7.140625" style="28" customWidth="1"/>
    <col min="2" max="2" width="45" style="31" customWidth="1"/>
    <col min="3" max="3" width="9.42578125" style="31" customWidth="1"/>
    <col min="4" max="4" width="12" style="31" customWidth="1"/>
    <col min="5" max="5" width="14.7109375" style="31" customWidth="1"/>
    <col min="6" max="6" width="17.5703125" style="31" customWidth="1"/>
    <col min="7" max="8" width="17.7109375" style="31" customWidth="1"/>
    <col min="9" max="9" width="9.42578125" style="31" customWidth="1"/>
    <col min="10" max="10" width="13" style="31" customWidth="1"/>
    <col min="11" max="11" width="5.7109375" style="31" customWidth="1"/>
    <col min="12" max="968" width="1.28515625" style="31"/>
    <col min="969" max="16384" width="1.28515625" style="32"/>
  </cols>
  <sheetData>
    <row r="1" spans="1:10" ht="51.75" customHeight="1" x14ac:dyDescent="0.25">
      <c r="A1" s="34" t="s">
        <v>286</v>
      </c>
      <c r="B1" s="35" t="s">
        <v>287</v>
      </c>
      <c r="C1" s="35" t="s">
        <v>0</v>
      </c>
      <c r="D1" s="35" t="s">
        <v>1</v>
      </c>
      <c r="E1" s="35" t="s">
        <v>288</v>
      </c>
      <c r="F1" s="35" t="s">
        <v>289</v>
      </c>
      <c r="G1" s="35" t="s">
        <v>290</v>
      </c>
      <c r="H1" s="35" t="s">
        <v>297</v>
      </c>
      <c r="J1" s="31" t="s">
        <v>299</v>
      </c>
    </row>
    <row r="2" spans="1:10" s="31" customFormat="1" x14ac:dyDescent="0.25">
      <c r="A2" s="41" t="s">
        <v>22</v>
      </c>
      <c r="B2" s="37" t="s">
        <v>23</v>
      </c>
      <c r="C2" s="29">
        <v>16</v>
      </c>
      <c r="D2" s="29">
        <v>16</v>
      </c>
      <c r="E2" s="43"/>
      <c r="F2" s="43"/>
      <c r="G2" s="43"/>
      <c r="H2" s="43"/>
      <c r="J2" s="31" t="s">
        <v>291</v>
      </c>
    </row>
    <row r="3" spans="1:10" s="31" customFormat="1" ht="31.5" customHeight="1" x14ac:dyDescent="0.25">
      <c r="A3" s="36" t="s">
        <v>33</v>
      </c>
      <c r="B3" s="37" t="s">
        <v>34</v>
      </c>
      <c r="C3" s="29">
        <v>32</v>
      </c>
      <c r="D3" s="29"/>
      <c r="E3" s="43">
        <v>1</v>
      </c>
      <c r="F3" s="43">
        <v>4</v>
      </c>
      <c r="G3" s="43">
        <v>5</v>
      </c>
      <c r="H3" s="43"/>
      <c r="J3" s="31" t="s">
        <v>292</v>
      </c>
    </row>
    <row r="4" spans="1:10" s="31" customFormat="1" x14ac:dyDescent="0.25">
      <c r="A4" s="36" t="s">
        <v>35</v>
      </c>
      <c r="B4" s="37" t="s">
        <v>36</v>
      </c>
      <c r="C4" s="29">
        <v>68</v>
      </c>
      <c r="D4" s="29"/>
      <c r="E4" s="43">
        <v>1</v>
      </c>
      <c r="F4" s="43">
        <v>3</v>
      </c>
      <c r="G4" s="43">
        <v>4</v>
      </c>
      <c r="H4" s="43">
        <v>5</v>
      </c>
      <c r="J4" s="31" t="s">
        <v>293</v>
      </c>
    </row>
    <row r="5" spans="1:10" s="31" customFormat="1" ht="20.25" customHeight="1" x14ac:dyDescent="0.25">
      <c r="A5" s="36" t="s">
        <v>37</v>
      </c>
      <c r="B5" s="37" t="s">
        <v>38</v>
      </c>
      <c r="C5" s="29">
        <v>64</v>
      </c>
      <c r="D5" s="29"/>
      <c r="E5" s="43">
        <v>1</v>
      </c>
      <c r="F5" s="43">
        <v>2</v>
      </c>
      <c r="G5" s="43">
        <v>3</v>
      </c>
      <c r="H5" s="43">
        <v>5</v>
      </c>
      <c r="J5" s="31" t="s">
        <v>294</v>
      </c>
    </row>
    <row r="6" spans="1:10" s="31" customFormat="1" x14ac:dyDescent="0.25">
      <c r="A6" s="41" t="s">
        <v>40</v>
      </c>
      <c r="B6" s="37" t="s">
        <v>41</v>
      </c>
      <c r="C6" s="29">
        <v>26</v>
      </c>
      <c r="D6" s="29"/>
      <c r="E6" s="43"/>
      <c r="F6" s="43"/>
      <c r="G6" s="43"/>
      <c r="H6" s="43"/>
      <c r="J6" s="31" t="s">
        <v>295</v>
      </c>
    </row>
    <row r="7" spans="1:10" s="31" customFormat="1" x14ac:dyDescent="0.25">
      <c r="A7" s="41" t="s">
        <v>43</v>
      </c>
      <c r="B7" s="38" t="s">
        <v>44</v>
      </c>
      <c r="C7" s="29">
        <v>28</v>
      </c>
      <c r="D7" s="30"/>
      <c r="E7" s="43"/>
      <c r="F7" s="43"/>
      <c r="G7" s="43"/>
      <c r="H7" s="43"/>
      <c r="J7" s="31" t="s">
        <v>296</v>
      </c>
    </row>
    <row r="8" spans="1:10" s="31" customFormat="1" x14ac:dyDescent="0.25">
      <c r="A8" s="36" t="s">
        <v>45</v>
      </c>
      <c r="B8" s="37" t="s">
        <v>46</v>
      </c>
      <c r="C8" s="29">
        <v>34</v>
      </c>
      <c r="D8" s="29"/>
      <c r="E8" s="43">
        <v>1</v>
      </c>
      <c r="F8" s="43"/>
      <c r="G8" s="43"/>
      <c r="H8" s="43"/>
    </row>
    <row r="9" spans="1:10" s="31" customFormat="1" x14ac:dyDescent="0.25">
      <c r="A9" s="36" t="s">
        <v>48</v>
      </c>
      <c r="B9" s="37" t="s">
        <v>49</v>
      </c>
      <c r="C9" s="29">
        <v>34</v>
      </c>
      <c r="D9" s="29"/>
      <c r="E9" s="43">
        <v>3</v>
      </c>
      <c r="F9" s="43">
        <v>6</v>
      </c>
      <c r="G9" s="43"/>
      <c r="H9" s="43"/>
    </row>
    <row r="10" spans="1:10" s="31" customFormat="1" x14ac:dyDescent="0.25">
      <c r="A10" s="36" t="s">
        <v>51</v>
      </c>
      <c r="B10" s="37" t="s">
        <v>52</v>
      </c>
      <c r="C10" s="29">
        <v>26</v>
      </c>
      <c r="D10" s="29"/>
      <c r="E10" s="43">
        <v>1</v>
      </c>
      <c r="F10" s="43">
        <v>5</v>
      </c>
      <c r="G10" s="43">
        <v>6</v>
      </c>
      <c r="H10" s="43"/>
    </row>
    <row r="11" spans="1:10" s="31" customFormat="1" x14ac:dyDescent="0.25">
      <c r="A11" s="39" t="s">
        <v>54</v>
      </c>
      <c r="B11" s="37" t="s">
        <v>55</v>
      </c>
      <c r="C11" s="29">
        <v>34</v>
      </c>
      <c r="D11" s="29"/>
      <c r="E11" s="43">
        <v>1</v>
      </c>
      <c r="F11" s="43">
        <v>3</v>
      </c>
      <c r="G11" s="43">
        <v>4</v>
      </c>
      <c r="H11" s="43" t="s">
        <v>298</v>
      </c>
    </row>
    <row r="12" spans="1:10" s="31" customFormat="1" ht="30" x14ac:dyDescent="0.25">
      <c r="A12" s="44" t="s">
        <v>57</v>
      </c>
      <c r="B12" s="37" t="s">
        <v>58</v>
      </c>
      <c r="C12" s="29">
        <v>24</v>
      </c>
      <c r="D12" s="29"/>
      <c r="E12" s="43"/>
      <c r="F12" s="43"/>
      <c r="G12" s="43"/>
      <c r="H12" s="43"/>
    </row>
    <row r="13" spans="1:10" s="31" customFormat="1" ht="30" x14ac:dyDescent="0.25">
      <c r="A13" s="39" t="s">
        <v>60</v>
      </c>
      <c r="B13" s="37" t="s">
        <v>61</v>
      </c>
      <c r="C13" s="29">
        <v>24</v>
      </c>
      <c r="D13" s="29"/>
      <c r="E13" s="43">
        <v>1</v>
      </c>
      <c r="F13" s="43">
        <v>6</v>
      </c>
      <c r="G13" s="43"/>
      <c r="H13" s="43"/>
    </row>
    <row r="14" spans="1:10" s="31" customFormat="1" ht="45" x14ac:dyDescent="0.25">
      <c r="A14" s="36" t="s">
        <v>68</v>
      </c>
      <c r="B14" s="37" t="s">
        <v>69</v>
      </c>
      <c r="C14" s="29">
        <v>24</v>
      </c>
      <c r="D14" s="29"/>
      <c r="E14" s="43">
        <v>1</v>
      </c>
      <c r="F14" s="43"/>
      <c r="G14" s="43"/>
      <c r="H14" s="43"/>
    </row>
    <row r="15" spans="1:10" s="31" customFormat="1" ht="30" x14ac:dyDescent="0.25">
      <c r="A15" s="40" t="s">
        <v>78</v>
      </c>
      <c r="B15" s="37" t="s">
        <v>79</v>
      </c>
      <c r="C15" s="29">
        <v>32</v>
      </c>
      <c r="D15" s="29"/>
      <c r="E15" s="43">
        <v>1</v>
      </c>
      <c r="F15" s="43">
        <v>3</v>
      </c>
      <c r="G15" s="43"/>
      <c r="H15" s="43"/>
    </row>
    <row r="16" spans="1:10" s="31" customFormat="1" ht="30" x14ac:dyDescent="0.25">
      <c r="A16" s="40" t="s">
        <v>80</v>
      </c>
      <c r="B16" s="37" t="s">
        <v>81</v>
      </c>
      <c r="C16" s="29">
        <v>32</v>
      </c>
      <c r="D16" s="29">
        <v>4</v>
      </c>
      <c r="E16" s="43">
        <v>1</v>
      </c>
      <c r="F16" s="43">
        <v>3</v>
      </c>
      <c r="G16" s="43"/>
      <c r="H16" s="43"/>
    </row>
    <row r="17" spans="1:8" s="31" customFormat="1" ht="30" x14ac:dyDescent="0.25">
      <c r="A17" s="45" t="s">
        <v>83</v>
      </c>
      <c r="B17" s="37" t="s">
        <v>84</v>
      </c>
      <c r="C17" s="29">
        <v>26</v>
      </c>
      <c r="D17" s="29"/>
      <c r="E17" s="43"/>
      <c r="F17" s="43"/>
      <c r="G17" s="43"/>
      <c r="H17" s="43"/>
    </row>
    <row r="18" spans="1:8" s="31" customFormat="1" x14ac:dyDescent="0.25">
      <c r="A18" s="45" t="s">
        <v>86</v>
      </c>
      <c r="B18" s="37" t="s">
        <v>87</v>
      </c>
      <c r="C18" s="29">
        <v>24</v>
      </c>
      <c r="D18" s="29"/>
      <c r="E18" s="43"/>
      <c r="F18" s="43"/>
      <c r="G18" s="43"/>
      <c r="H18" s="43"/>
    </row>
    <row r="19" spans="1:8" s="31" customFormat="1" x14ac:dyDescent="0.25">
      <c r="A19" s="45" t="s">
        <v>89</v>
      </c>
      <c r="B19" s="37" t="s">
        <v>90</v>
      </c>
      <c r="C19" s="29">
        <v>16</v>
      </c>
      <c r="D19" s="29"/>
      <c r="E19" s="43"/>
      <c r="F19" s="43"/>
      <c r="G19" s="43"/>
      <c r="H19" s="43"/>
    </row>
    <row r="20" spans="1:8" s="31" customFormat="1" x14ac:dyDescent="0.25">
      <c r="A20" s="45" t="s">
        <v>91</v>
      </c>
      <c r="B20" s="37" t="s">
        <v>92</v>
      </c>
      <c r="C20" s="29">
        <v>16</v>
      </c>
      <c r="D20" s="29"/>
      <c r="E20" s="43"/>
      <c r="F20" s="43"/>
      <c r="G20" s="43"/>
      <c r="H20" s="43"/>
    </row>
    <row r="21" spans="1:8" s="31" customFormat="1" x14ac:dyDescent="0.25">
      <c r="A21" s="40" t="s">
        <v>94</v>
      </c>
      <c r="B21" s="37" t="s">
        <v>95</v>
      </c>
      <c r="C21" s="29">
        <v>34</v>
      </c>
      <c r="D21" s="29">
        <v>16</v>
      </c>
      <c r="E21" s="43">
        <v>1</v>
      </c>
      <c r="F21" s="43">
        <v>3</v>
      </c>
      <c r="G21" s="43">
        <v>4</v>
      </c>
      <c r="H21" s="43" t="s">
        <v>298</v>
      </c>
    </row>
    <row r="22" spans="1:8" s="33" customFormat="1" ht="30" x14ac:dyDescent="0.25">
      <c r="A22" s="45" t="s">
        <v>96</v>
      </c>
      <c r="B22" s="37" t="s">
        <v>97</v>
      </c>
      <c r="C22" s="29">
        <v>24</v>
      </c>
      <c r="D22" s="29"/>
      <c r="E22" s="42"/>
      <c r="F22" s="42"/>
      <c r="G22" s="42"/>
      <c r="H22" s="42"/>
    </row>
    <row r="23" spans="1:8" s="33" customFormat="1" x14ac:dyDescent="0.25">
      <c r="A23" s="45" t="s">
        <v>98</v>
      </c>
      <c r="B23" s="37" t="s">
        <v>99</v>
      </c>
      <c r="C23" s="29">
        <v>16</v>
      </c>
      <c r="D23" s="29"/>
      <c r="E23" s="42"/>
      <c r="F23" s="42"/>
      <c r="G23" s="42"/>
      <c r="H23" s="42"/>
    </row>
    <row r="24" spans="1:8" s="33" customFormat="1" x14ac:dyDescent="0.25">
      <c r="A24" s="45" t="s">
        <v>100</v>
      </c>
      <c r="B24" s="37" t="s">
        <v>101</v>
      </c>
      <c r="C24" s="29">
        <v>26</v>
      </c>
      <c r="D24" s="29"/>
      <c r="E24" s="42"/>
      <c r="F24" s="42"/>
      <c r="G24" s="42"/>
      <c r="H24" s="42"/>
    </row>
    <row r="25" spans="1:8" s="31" customFormat="1" x14ac:dyDescent="0.25">
      <c r="A25" s="40" t="s">
        <v>103</v>
      </c>
      <c r="B25" s="37" t="s">
        <v>104</v>
      </c>
      <c r="C25" s="29">
        <v>26</v>
      </c>
      <c r="D25" s="29"/>
      <c r="E25" s="43">
        <v>1</v>
      </c>
      <c r="F25" s="43"/>
      <c r="G25" s="43"/>
      <c r="H25" s="43"/>
    </row>
    <row r="26" spans="1:8" s="31" customFormat="1" ht="30" x14ac:dyDescent="0.25">
      <c r="A26" s="45" t="s">
        <v>106</v>
      </c>
      <c r="B26" s="37" t="s">
        <v>107</v>
      </c>
      <c r="C26" s="29">
        <v>26</v>
      </c>
      <c r="D26" s="29"/>
      <c r="E26" s="43"/>
      <c r="F26" s="43"/>
      <c r="G26" s="43"/>
      <c r="H26" s="43"/>
    </row>
    <row r="27" spans="1:8" s="31" customFormat="1" x14ac:dyDescent="0.25">
      <c r="A27" s="45" t="s">
        <v>108</v>
      </c>
      <c r="B27" s="37" t="s">
        <v>109</v>
      </c>
      <c r="C27" s="29">
        <v>28</v>
      </c>
      <c r="D27" s="29"/>
      <c r="E27" s="43"/>
      <c r="F27" s="43"/>
      <c r="G27" s="43"/>
      <c r="H27" s="43"/>
    </row>
    <row r="28" spans="1:8" s="31" customFormat="1" x14ac:dyDescent="0.25">
      <c r="A28" s="45" t="s">
        <v>112</v>
      </c>
      <c r="B28" s="37" t="s">
        <v>113</v>
      </c>
      <c r="C28" s="29">
        <v>16</v>
      </c>
      <c r="D28" s="30">
        <v>16</v>
      </c>
      <c r="E28" s="43"/>
      <c r="F28" s="43"/>
      <c r="G28" s="43"/>
      <c r="H28" s="43"/>
    </row>
    <row r="29" spans="1:8" s="31" customFormat="1" ht="30" x14ac:dyDescent="0.25">
      <c r="A29" s="45" t="s">
        <v>114</v>
      </c>
      <c r="B29" s="37" t="s">
        <v>115</v>
      </c>
      <c r="C29" s="29">
        <v>32</v>
      </c>
      <c r="D29" s="29">
        <v>16</v>
      </c>
      <c r="E29" s="43"/>
      <c r="F29" s="43"/>
      <c r="G29" s="43"/>
      <c r="H29" s="43"/>
    </row>
    <row r="30" spans="1:8" s="31" customFormat="1" x14ac:dyDescent="0.25">
      <c r="A30" s="41" t="s">
        <v>116</v>
      </c>
      <c r="B30" s="37" t="s">
        <v>117</v>
      </c>
      <c r="C30" s="29">
        <v>32</v>
      </c>
      <c r="D30" s="29">
        <v>16</v>
      </c>
      <c r="E30" s="43"/>
      <c r="F30" s="43"/>
      <c r="G30" s="43"/>
      <c r="H30" s="43"/>
    </row>
    <row r="31" spans="1:8" s="31" customFormat="1" x14ac:dyDescent="0.25">
      <c r="A31" s="36" t="s">
        <v>118</v>
      </c>
      <c r="B31" s="37" t="s">
        <v>119</v>
      </c>
      <c r="C31" s="29">
        <v>34</v>
      </c>
      <c r="D31" s="29"/>
      <c r="E31" s="43">
        <v>1</v>
      </c>
      <c r="F31" s="43">
        <v>3</v>
      </c>
      <c r="G31" s="43">
        <v>5</v>
      </c>
      <c r="H31" s="43">
        <v>6</v>
      </c>
    </row>
    <row r="32" spans="1:8" s="31" customFormat="1" x14ac:dyDescent="0.25">
      <c r="A32" s="45" t="s">
        <v>122</v>
      </c>
      <c r="B32" s="37" t="s">
        <v>123</v>
      </c>
      <c r="C32" s="29">
        <v>26</v>
      </c>
      <c r="D32" s="29"/>
      <c r="E32" s="43"/>
      <c r="F32" s="43"/>
      <c r="G32" s="43"/>
      <c r="H32" s="43"/>
    </row>
    <row r="33" spans="1:13" s="31" customFormat="1" ht="30" x14ac:dyDescent="0.25">
      <c r="A33" s="40" t="s">
        <v>125</v>
      </c>
      <c r="B33" s="37" t="s">
        <v>126</v>
      </c>
      <c r="C33" s="29">
        <v>26</v>
      </c>
      <c r="D33" s="29"/>
      <c r="E33" s="43">
        <v>1</v>
      </c>
      <c r="F33" s="43">
        <v>3</v>
      </c>
      <c r="G33" s="43">
        <v>5</v>
      </c>
      <c r="H33" s="43">
        <v>6</v>
      </c>
      <c r="K33" s="27"/>
      <c r="L33" s="27"/>
      <c r="M33" s="27"/>
    </row>
    <row r="34" spans="1:13" s="31" customFormat="1" ht="30" x14ac:dyDescent="0.25">
      <c r="A34" s="40" t="s">
        <v>128</v>
      </c>
      <c r="B34" s="37" t="s">
        <v>129</v>
      </c>
      <c r="C34" s="29">
        <v>32</v>
      </c>
      <c r="D34" s="29"/>
      <c r="E34" s="43">
        <v>1</v>
      </c>
      <c r="F34" s="43"/>
      <c r="G34" s="43"/>
      <c r="H34" s="43"/>
    </row>
    <row r="35" spans="1:13" s="31" customFormat="1" x14ac:dyDescent="0.25">
      <c r="A35" s="45" t="s">
        <v>131</v>
      </c>
      <c r="B35" s="37" t="s">
        <v>132</v>
      </c>
      <c r="C35" s="29">
        <v>16</v>
      </c>
      <c r="D35" s="29">
        <v>16</v>
      </c>
      <c r="E35" s="43"/>
      <c r="F35" s="43"/>
      <c r="G35" s="43"/>
      <c r="H35" s="43"/>
    </row>
    <row r="36" spans="1:13" s="31" customFormat="1" ht="45" x14ac:dyDescent="0.25">
      <c r="A36" s="45" t="s">
        <v>133</v>
      </c>
      <c r="B36" s="37" t="s">
        <v>134</v>
      </c>
      <c r="C36" s="29">
        <v>24</v>
      </c>
      <c r="D36" s="29"/>
      <c r="E36" s="43"/>
      <c r="F36" s="43"/>
      <c r="G36" s="43"/>
      <c r="H36" s="43"/>
    </row>
    <row r="37" spans="1:13" s="31" customFormat="1" x14ac:dyDescent="0.25">
      <c r="A37" s="45" t="s">
        <v>136</v>
      </c>
      <c r="B37" s="37" t="s">
        <v>137</v>
      </c>
      <c r="C37" s="29">
        <v>16</v>
      </c>
      <c r="D37" s="29"/>
      <c r="E37" s="43"/>
      <c r="F37" s="43"/>
      <c r="G37" s="43"/>
      <c r="H37" s="43"/>
    </row>
    <row r="38" spans="1:13" s="31" customFormat="1" ht="30" x14ac:dyDescent="0.25">
      <c r="A38" s="45" t="s">
        <v>138</v>
      </c>
      <c r="B38" s="37" t="s">
        <v>139</v>
      </c>
      <c r="C38" s="29">
        <v>16</v>
      </c>
      <c r="D38" s="29"/>
      <c r="E38" s="43"/>
      <c r="F38" s="43"/>
      <c r="G38" s="43"/>
      <c r="H38" s="43"/>
      <c r="K38" s="27"/>
      <c r="L38" s="27"/>
      <c r="M38" s="27"/>
    </row>
    <row r="39" spans="1:13" s="31" customFormat="1" ht="30" x14ac:dyDescent="0.25">
      <c r="A39" s="45" t="s">
        <v>140</v>
      </c>
      <c r="B39" s="37" t="s">
        <v>141</v>
      </c>
      <c r="C39" s="29">
        <v>34</v>
      </c>
      <c r="D39" s="29">
        <v>18</v>
      </c>
      <c r="E39" s="43"/>
      <c r="F39" s="43"/>
      <c r="G39" s="43"/>
      <c r="H39" s="43"/>
      <c r="K39" s="27"/>
      <c r="L39" s="27"/>
      <c r="M39" s="27"/>
    </row>
    <row r="40" spans="1:13" s="31" customFormat="1" x14ac:dyDescent="0.25">
      <c r="A40" s="40" t="s">
        <v>143</v>
      </c>
      <c r="B40" s="37" t="s">
        <v>144</v>
      </c>
      <c r="C40" s="29">
        <v>24</v>
      </c>
      <c r="D40" s="29"/>
      <c r="E40" s="43">
        <v>1</v>
      </c>
      <c r="F40" s="43">
        <v>3</v>
      </c>
      <c r="G40" s="43"/>
      <c r="H40" s="43"/>
    </row>
    <row r="41" spans="1:13" s="31" customFormat="1" x14ac:dyDescent="0.25">
      <c r="A41" s="40" t="s">
        <v>145</v>
      </c>
      <c r="B41" s="37" t="s">
        <v>146</v>
      </c>
      <c r="C41" s="29">
        <v>24</v>
      </c>
      <c r="D41" s="29"/>
      <c r="E41" s="43">
        <v>1</v>
      </c>
      <c r="F41" s="43">
        <v>3</v>
      </c>
      <c r="G41" s="43">
        <v>4</v>
      </c>
      <c r="H41" s="43"/>
    </row>
    <row r="42" spans="1:13" s="31" customFormat="1" ht="30" x14ac:dyDescent="0.25">
      <c r="A42" s="40" t="s">
        <v>147</v>
      </c>
      <c r="B42" s="37" t="s">
        <v>148</v>
      </c>
      <c r="C42" s="29">
        <v>12</v>
      </c>
      <c r="D42" s="29">
        <v>12</v>
      </c>
      <c r="E42" s="43">
        <v>1</v>
      </c>
      <c r="F42" s="43">
        <v>3</v>
      </c>
      <c r="G42" s="43">
        <v>4</v>
      </c>
      <c r="H42" s="43">
        <v>5</v>
      </c>
    </row>
    <row r="43" spans="1:13" s="31" customFormat="1" x14ac:dyDescent="0.25">
      <c r="A43" s="28"/>
    </row>
    <row r="44" spans="1:13" s="31" customFormat="1" x14ac:dyDescent="0.25">
      <c r="A44" s="28"/>
    </row>
    <row r="45" spans="1:13" s="31" customFormat="1" x14ac:dyDescent="0.25">
      <c r="A45" s="28"/>
    </row>
    <row r="46" spans="1:13" s="31" customFormat="1" x14ac:dyDescent="0.25">
      <c r="A46" s="28"/>
    </row>
    <row r="47" spans="1:13" s="31" customFormat="1" x14ac:dyDescent="0.25">
      <c r="A47" s="28"/>
    </row>
    <row r="48" spans="1:13" s="31" customFormat="1" x14ac:dyDescent="0.25">
      <c r="A48" s="28"/>
    </row>
    <row r="49" spans="1:1" s="31" customFormat="1" x14ac:dyDescent="0.25">
      <c r="A49" s="28"/>
    </row>
    <row r="50" spans="1:1" s="31" customFormat="1" x14ac:dyDescent="0.25">
      <c r="A50" s="28"/>
    </row>
    <row r="51" spans="1:1" s="31" customFormat="1" x14ac:dyDescent="0.25">
      <c r="A51" s="28"/>
    </row>
    <row r="52" spans="1:1" s="31" customFormat="1" x14ac:dyDescent="0.25">
      <c r="A52" s="28"/>
    </row>
    <row r="53" spans="1:1" s="31" customFormat="1" x14ac:dyDescent="0.25">
      <c r="A53" s="28"/>
    </row>
    <row r="54" spans="1:1" s="31" customFormat="1" x14ac:dyDescent="0.25">
      <c r="A54" s="28"/>
    </row>
    <row r="55" spans="1:1" s="31" customFormat="1" x14ac:dyDescent="0.25">
      <c r="A55" s="28"/>
    </row>
    <row r="56" spans="1:1" s="31" customFormat="1" x14ac:dyDescent="0.25">
      <c r="A56" s="28"/>
    </row>
    <row r="57" spans="1:1" s="31" customFormat="1" x14ac:dyDescent="0.25">
      <c r="A57" s="28"/>
    </row>
    <row r="58" spans="1:1" s="31" customFormat="1" x14ac:dyDescent="0.25">
      <c r="A58" s="28"/>
    </row>
    <row r="59" spans="1:1" s="31" customFormat="1" x14ac:dyDescent="0.25">
      <c r="A59" s="28"/>
    </row>
    <row r="60" spans="1:1" s="31" customFormat="1" x14ac:dyDescent="0.25">
      <c r="A60" s="28"/>
    </row>
    <row r="61" spans="1:1" s="31" customFormat="1" x14ac:dyDescent="0.25">
      <c r="A61" s="28"/>
    </row>
    <row r="62" spans="1:1" s="31" customFormat="1" x14ac:dyDescent="0.25">
      <c r="A62" s="28"/>
    </row>
    <row r="63" spans="1:1" s="31" customFormat="1" x14ac:dyDescent="0.25">
      <c r="A63" s="28"/>
    </row>
    <row r="64" spans="1:1" s="31" customFormat="1" x14ac:dyDescent="0.25">
      <c r="A64" s="28"/>
    </row>
    <row r="65" spans="1:1" s="31" customFormat="1" x14ac:dyDescent="0.25">
      <c r="A65" s="28"/>
    </row>
    <row r="66" spans="1:1" s="31" customFormat="1" x14ac:dyDescent="0.25">
      <c r="A66" s="28"/>
    </row>
    <row r="67" spans="1:1" s="31" customFormat="1" x14ac:dyDescent="0.25">
      <c r="A67" s="28"/>
    </row>
    <row r="68" spans="1:1" s="31" customFormat="1" x14ac:dyDescent="0.25">
      <c r="A68" s="28"/>
    </row>
    <row r="69" spans="1:1" s="31" customFormat="1" x14ac:dyDescent="0.25">
      <c r="A69" s="28"/>
    </row>
    <row r="70" spans="1:1" s="31" customFormat="1" x14ac:dyDescent="0.25">
      <c r="A70" s="28"/>
    </row>
    <row r="71" spans="1:1" s="31" customFormat="1" x14ac:dyDescent="0.25">
      <c r="A71" s="28"/>
    </row>
    <row r="72" spans="1:1" s="31" customFormat="1" x14ac:dyDescent="0.25">
      <c r="A72" s="28"/>
    </row>
    <row r="73" spans="1:1" s="31" customFormat="1" x14ac:dyDescent="0.25">
      <c r="A73" s="28"/>
    </row>
    <row r="74" spans="1:1" s="31" customFormat="1" x14ac:dyDescent="0.25">
      <c r="A74" s="28"/>
    </row>
    <row r="75" spans="1:1" s="31" customFormat="1" x14ac:dyDescent="0.25">
      <c r="A75" s="28"/>
    </row>
    <row r="76" spans="1:1" s="31" customFormat="1" x14ac:dyDescent="0.25">
      <c r="A76" s="28"/>
    </row>
    <row r="77" spans="1:1" s="31" customFormat="1" x14ac:dyDescent="0.25">
      <c r="A77" s="28"/>
    </row>
    <row r="78" spans="1:1" s="31" customFormat="1" x14ac:dyDescent="0.25">
      <c r="A78" s="28"/>
    </row>
    <row r="79" spans="1:1" s="31" customFormat="1" x14ac:dyDescent="0.25">
      <c r="A79" s="28"/>
    </row>
    <row r="80" spans="1:1" s="31" customFormat="1" x14ac:dyDescent="0.25">
      <c r="A80" s="28"/>
    </row>
    <row r="81" spans="1:1" s="31" customFormat="1" x14ac:dyDescent="0.25">
      <c r="A81" s="28"/>
    </row>
    <row r="82" spans="1:1" s="31" customFormat="1" x14ac:dyDescent="0.25">
      <c r="A82" s="28"/>
    </row>
    <row r="83" spans="1:1" s="31" customFormat="1" x14ac:dyDescent="0.25">
      <c r="A83" s="28"/>
    </row>
    <row r="84" spans="1:1" s="31" customFormat="1" x14ac:dyDescent="0.25">
      <c r="A84" s="28"/>
    </row>
    <row r="85" spans="1:1" s="31" customFormat="1" x14ac:dyDescent="0.25">
      <c r="A85" s="28"/>
    </row>
    <row r="86" spans="1:1" s="31" customFormat="1" x14ac:dyDescent="0.25">
      <c r="A86" s="28"/>
    </row>
    <row r="87" spans="1:1" s="31" customFormat="1" x14ac:dyDescent="0.25">
      <c r="A87" s="28"/>
    </row>
    <row r="88" spans="1:1" s="31" customFormat="1" x14ac:dyDescent="0.25">
      <c r="A88" s="28"/>
    </row>
    <row r="89" spans="1:1" s="31" customFormat="1" x14ac:dyDescent="0.25">
      <c r="A89" s="28"/>
    </row>
    <row r="90" spans="1:1" s="31" customFormat="1" x14ac:dyDescent="0.25">
      <c r="A90" s="28"/>
    </row>
    <row r="91" spans="1:1" s="31" customFormat="1" x14ac:dyDescent="0.25">
      <c r="A91" s="28"/>
    </row>
    <row r="92" spans="1:1" s="31" customFormat="1" x14ac:dyDescent="0.25">
      <c r="A92" s="28"/>
    </row>
    <row r="93" spans="1:1" s="31" customFormat="1" x14ac:dyDescent="0.25">
      <c r="A93" s="28"/>
    </row>
    <row r="94" spans="1:1" s="31" customFormat="1" x14ac:dyDescent="0.25">
      <c r="A94" s="28"/>
    </row>
    <row r="95" spans="1:1" s="31" customFormat="1" x14ac:dyDescent="0.25">
      <c r="A95" s="28"/>
    </row>
    <row r="96" spans="1:1" s="31" customFormat="1" x14ac:dyDescent="0.25">
      <c r="A96" s="28"/>
    </row>
    <row r="97" spans="1:1" s="31" customFormat="1" x14ac:dyDescent="0.25">
      <c r="A97" s="28"/>
    </row>
    <row r="98" spans="1:1" s="31" customFormat="1" x14ac:dyDescent="0.25">
      <c r="A98" s="28"/>
    </row>
    <row r="99" spans="1:1" s="31" customFormat="1" x14ac:dyDescent="0.25">
      <c r="A99" s="28"/>
    </row>
    <row r="100" spans="1:1" s="31" customFormat="1" x14ac:dyDescent="0.25">
      <c r="A100" s="28"/>
    </row>
    <row r="101" spans="1:1" s="31" customFormat="1" x14ac:dyDescent="0.25">
      <c r="A101" s="28"/>
    </row>
    <row r="102" spans="1:1" s="31" customFormat="1" x14ac:dyDescent="0.25">
      <c r="A102" s="28"/>
    </row>
    <row r="103" spans="1:1" s="31" customFormat="1" x14ac:dyDescent="0.25">
      <c r="A103" s="28"/>
    </row>
    <row r="104" spans="1:1" s="31" customFormat="1" x14ac:dyDescent="0.25">
      <c r="A104" s="28"/>
    </row>
    <row r="105" spans="1:1" s="31" customFormat="1" x14ac:dyDescent="0.25">
      <c r="A105" s="28"/>
    </row>
    <row r="106" spans="1:1" s="31" customFormat="1" x14ac:dyDescent="0.25">
      <c r="A106" s="28"/>
    </row>
    <row r="107" spans="1:1" s="31" customFormat="1" x14ac:dyDescent="0.25">
      <c r="A107" s="28"/>
    </row>
    <row r="108" spans="1:1" s="31" customFormat="1" x14ac:dyDescent="0.25">
      <c r="A108" s="28"/>
    </row>
    <row r="109" spans="1:1" s="31" customFormat="1" x14ac:dyDescent="0.25">
      <c r="A109" s="28"/>
    </row>
    <row r="110" spans="1:1" s="31" customFormat="1" x14ac:dyDescent="0.25">
      <c r="A110" s="28"/>
    </row>
    <row r="111" spans="1:1" s="31" customFormat="1" x14ac:dyDescent="0.25">
      <c r="A111" s="28"/>
    </row>
    <row r="112" spans="1:1" s="31" customFormat="1" x14ac:dyDescent="0.25">
      <c r="A112" s="28"/>
    </row>
    <row r="113" spans="1:1" s="31" customFormat="1" x14ac:dyDescent="0.25">
      <c r="A113" s="28"/>
    </row>
    <row r="114" spans="1:1" s="31" customFormat="1" x14ac:dyDescent="0.25">
      <c r="A114" s="28"/>
    </row>
    <row r="115" spans="1:1" s="31" customFormat="1" x14ac:dyDescent="0.25">
      <c r="A115" s="28"/>
    </row>
    <row r="116" spans="1:1" s="31" customFormat="1" x14ac:dyDescent="0.25">
      <c r="A116" s="28"/>
    </row>
    <row r="117" spans="1:1" s="31" customFormat="1" x14ac:dyDescent="0.25">
      <c r="A117" s="28"/>
    </row>
    <row r="118" spans="1:1" s="31" customFormat="1" x14ac:dyDescent="0.25">
      <c r="A118" s="28"/>
    </row>
    <row r="119" spans="1:1" s="31" customFormat="1" x14ac:dyDescent="0.25">
      <c r="A119" s="28"/>
    </row>
    <row r="120" spans="1:1" s="31" customFormat="1" x14ac:dyDescent="0.25">
      <c r="A120" s="28"/>
    </row>
    <row r="121" spans="1:1" s="31" customFormat="1" x14ac:dyDescent="0.25">
      <c r="A121" s="28"/>
    </row>
    <row r="122" spans="1:1" s="31" customFormat="1" x14ac:dyDescent="0.25">
      <c r="A122" s="28"/>
    </row>
    <row r="123" spans="1:1" s="31" customFormat="1" x14ac:dyDescent="0.25">
      <c r="A123" s="28"/>
    </row>
    <row r="124" spans="1:1" s="31" customFormat="1" x14ac:dyDescent="0.25">
      <c r="A124" s="28"/>
    </row>
    <row r="125" spans="1:1" s="31" customFormat="1" x14ac:dyDescent="0.25">
      <c r="A125" s="28"/>
    </row>
    <row r="126" spans="1:1" s="31" customFormat="1" x14ac:dyDescent="0.25">
      <c r="A126" s="28"/>
    </row>
    <row r="127" spans="1:1" s="31" customFormat="1" x14ac:dyDescent="0.25">
      <c r="A127" s="28"/>
    </row>
    <row r="128" spans="1:1" s="31" customFormat="1" x14ac:dyDescent="0.25">
      <c r="A128" s="28"/>
    </row>
    <row r="129" spans="1:1" s="31" customFormat="1" x14ac:dyDescent="0.25">
      <c r="A129" s="28"/>
    </row>
    <row r="130" spans="1:1" s="31" customFormat="1" x14ac:dyDescent="0.25">
      <c r="A130" s="28"/>
    </row>
    <row r="131" spans="1:1" s="31" customFormat="1" x14ac:dyDescent="0.25">
      <c r="A131" s="28"/>
    </row>
    <row r="132" spans="1:1" s="31" customFormat="1" x14ac:dyDescent="0.25">
      <c r="A132" s="28"/>
    </row>
    <row r="133" spans="1:1" s="31" customFormat="1" x14ac:dyDescent="0.25">
      <c r="A133" s="28"/>
    </row>
    <row r="134" spans="1:1" s="31" customFormat="1" x14ac:dyDescent="0.25">
      <c r="A134" s="28"/>
    </row>
    <row r="135" spans="1:1" s="31" customFormat="1" x14ac:dyDescent="0.25">
      <c r="A135" s="28"/>
    </row>
    <row r="136" spans="1:1" s="31" customFormat="1" x14ac:dyDescent="0.25">
      <c r="A136" s="28"/>
    </row>
    <row r="137" spans="1:1" s="31" customFormat="1" x14ac:dyDescent="0.25">
      <c r="A137" s="28"/>
    </row>
    <row r="138" spans="1:1" s="31" customFormat="1" x14ac:dyDescent="0.25">
      <c r="A138" s="28"/>
    </row>
    <row r="139" spans="1:1" s="31" customFormat="1" x14ac:dyDescent="0.25">
      <c r="A139" s="28"/>
    </row>
    <row r="140" spans="1:1" s="31" customFormat="1" x14ac:dyDescent="0.25">
      <c r="A140" s="28"/>
    </row>
    <row r="141" spans="1:1" s="31" customFormat="1" x14ac:dyDescent="0.25">
      <c r="A141" s="28"/>
    </row>
    <row r="142" spans="1:1" s="31" customFormat="1" x14ac:dyDescent="0.25">
      <c r="A142" s="28"/>
    </row>
    <row r="143" spans="1:1" s="31" customFormat="1" x14ac:dyDescent="0.25">
      <c r="A143" s="28"/>
    </row>
    <row r="144" spans="1:1" s="31" customFormat="1" x14ac:dyDescent="0.25">
      <c r="A144" s="28"/>
    </row>
    <row r="145" spans="1:1" s="31" customFormat="1" x14ac:dyDescent="0.25">
      <c r="A145" s="28"/>
    </row>
    <row r="146" spans="1:1" s="31" customFormat="1" x14ac:dyDescent="0.25">
      <c r="A146" s="28"/>
    </row>
    <row r="147" spans="1:1" s="31" customFormat="1" x14ac:dyDescent="0.25">
      <c r="A147" s="28"/>
    </row>
    <row r="148" spans="1:1" s="31" customFormat="1" x14ac:dyDescent="0.25">
      <c r="A148" s="28"/>
    </row>
    <row r="149" spans="1:1" s="31" customFormat="1" x14ac:dyDescent="0.25">
      <c r="A149" s="28"/>
    </row>
    <row r="150" spans="1:1" s="31" customFormat="1" x14ac:dyDescent="0.25">
      <c r="A150" s="28"/>
    </row>
    <row r="151" spans="1:1" s="31" customFormat="1" x14ac:dyDescent="0.25">
      <c r="A151" s="28"/>
    </row>
    <row r="152" spans="1:1" s="31" customFormat="1" x14ac:dyDescent="0.25">
      <c r="A152" s="28"/>
    </row>
    <row r="153" spans="1:1" s="31" customFormat="1" x14ac:dyDescent="0.25">
      <c r="A153" s="28"/>
    </row>
    <row r="154" spans="1:1" s="31" customFormat="1" x14ac:dyDescent="0.25">
      <c r="A154" s="28"/>
    </row>
    <row r="155" spans="1:1" s="31" customFormat="1" x14ac:dyDescent="0.25">
      <c r="A155" s="28"/>
    </row>
    <row r="156" spans="1:1" s="31" customFormat="1" x14ac:dyDescent="0.25">
      <c r="A156" s="28"/>
    </row>
    <row r="157" spans="1:1" s="31" customFormat="1" x14ac:dyDescent="0.25">
      <c r="A157" s="28"/>
    </row>
    <row r="158" spans="1:1" s="31" customFormat="1" x14ac:dyDescent="0.25">
      <c r="A158" s="28"/>
    </row>
    <row r="159" spans="1:1" s="31" customFormat="1" x14ac:dyDescent="0.25">
      <c r="A159" s="28"/>
    </row>
    <row r="160" spans="1:1" s="31" customFormat="1" x14ac:dyDescent="0.25">
      <c r="A160" s="28"/>
    </row>
    <row r="161" spans="1:1" s="31" customFormat="1" x14ac:dyDescent="0.25">
      <c r="A161" s="28"/>
    </row>
    <row r="162" spans="1:1" s="31" customFormat="1" x14ac:dyDescent="0.25">
      <c r="A162" s="28"/>
    </row>
    <row r="163" spans="1:1" s="31" customFormat="1" x14ac:dyDescent="0.25">
      <c r="A163" s="28"/>
    </row>
    <row r="164" spans="1:1" s="31" customFormat="1" x14ac:dyDescent="0.25">
      <c r="A164" s="28"/>
    </row>
    <row r="165" spans="1:1" s="31" customFormat="1" x14ac:dyDescent="0.25">
      <c r="A165" s="28"/>
    </row>
    <row r="166" spans="1:1" s="31" customFormat="1" x14ac:dyDescent="0.25">
      <c r="A166" s="28"/>
    </row>
    <row r="167" spans="1:1" s="31" customFormat="1" x14ac:dyDescent="0.25">
      <c r="A167" s="28"/>
    </row>
    <row r="168" spans="1:1" s="31" customFormat="1" x14ac:dyDescent="0.25">
      <c r="A168" s="28"/>
    </row>
    <row r="169" spans="1:1" s="31" customFormat="1" x14ac:dyDescent="0.25">
      <c r="A169" s="28"/>
    </row>
    <row r="170" spans="1:1" s="31" customFormat="1" x14ac:dyDescent="0.25">
      <c r="A170" s="28"/>
    </row>
    <row r="171" spans="1:1" s="31" customFormat="1" x14ac:dyDescent="0.25">
      <c r="A171" s="28"/>
    </row>
    <row r="172" spans="1:1" s="31" customFormat="1" x14ac:dyDescent="0.25">
      <c r="A172" s="28"/>
    </row>
    <row r="173" spans="1:1" s="31" customFormat="1" x14ac:dyDescent="0.25">
      <c r="A173" s="28"/>
    </row>
    <row r="174" spans="1:1" s="31" customFormat="1" x14ac:dyDescent="0.25">
      <c r="A174" s="28"/>
    </row>
    <row r="175" spans="1:1" s="31" customFormat="1" x14ac:dyDescent="0.25">
      <c r="A175" s="28"/>
    </row>
    <row r="176" spans="1:1" s="31" customFormat="1" x14ac:dyDescent="0.25">
      <c r="A176" s="28"/>
    </row>
    <row r="177" spans="1:1" s="31" customFormat="1" x14ac:dyDescent="0.25">
      <c r="A177" s="28"/>
    </row>
    <row r="178" spans="1:1" s="31" customFormat="1" x14ac:dyDescent="0.25">
      <c r="A178" s="28"/>
    </row>
    <row r="179" spans="1:1" s="31" customFormat="1" x14ac:dyDescent="0.25">
      <c r="A179" s="28"/>
    </row>
    <row r="180" spans="1:1" s="31" customFormat="1" x14ac:dyDescent="0.25">
      <c r="A180" s="28"/>
    </row>
    <row r="181" spans="1:1" s="31" customFormat="1" x14ac:dyDescent="0.25">
      <c r="A181" s="28"/>
    </row>
    <row r="182" spans="1:1" s="31" customFormat="1" x14ac:dyDescent="0.25">
      <c r="A182" s="28"/>
    </row>
    <row r="183" spans="1:1" s="31" customFormat="1" x14ac:dyDescent="0.25">
      <c r="A183" s="28"/>
    </row>
    <row r="184" spans="1:1" s="31" customFormat="1" x14ac:dyDescent="0.25">
      <c r="A184" s="28"/>
    </row>
    <row r="185" spans="1:1" s="31" customFormat="1" x14ac:dyDescent="0.25">
      <c r="A185" s="28"/>
    </row>
    <row r="186" spans="1:1" s="31" customFormat="1" x14ac:dyDescent="0.25">
      <c r="A186" s="28"/>
    </row>
    <row r="187" spans="1:1" s="31" customFormat="1" x14ac:dyDescent="0.25">
      <c r="A187" s="28"/>
    </row>
    <row r="188" spans="1:1" s="31" customFormat="1" x14ac:dyDescent="0.25">
      <c r="A188" s="28"/>
    </row>
    <row r="189" spans="1:1" s="31" customFormat="1" x14ac:dyDescent="0.25">
      <c r="A189" s="28"/>
    </row>
    <row r="190" spans="1:1" s="31" customFormat="1" x14ac:dyDescent="0.25">
      <c r="A190" s="28"/>
    </row>
    <row r="191" spans="1:1" s="31" customFormat="1" x14ac:dyDescent="0.25">
      <c r="A191" s="28"/>
    </row>
    <row r="192" spans="1:1" s="31" customFormat="1" x14ac:dyDescent="0.25">
      <c r="A192" s="28"/>
    </row>
    <row r="193" spans="1:1" s="31" customFormat="1" x14ac:dyDescent="0.25">
      <c r="A193" s="28"/>
    </row>
    <row r="194" spans="1:1" s="31" customFormat="1" x14ac:dyDescent="0.25">
      <c r="A194" s="28"/>
    </row>
    <row r="195" spans="1:1" s="31" customFormat="1" x14ac:dyDescent="0.25">
      <c r="A195" s="28"/>
    </row>
    <row r="196" spans="1:1" s="31" customFormat="1" x14ac:dyDescent="0.25">
      <c r="A196" s="28"/>
    </row>
    <row r="197" spans="1:1" s="31" customFormat="1" x14ac:dyDescent="0.25">
      <c r="A197" s="28"/>
    </row>
    <row r="198" spans="1:1" s="31" customFormat="1" x14ac:dyDescent="0.25">
      <c r="A198" s="28"/>
    </row>
    <row r="199" spans="1:1" s="31" customFormat="1" x14ac:dyDescent="0.25">
      <c r="A199" s="28"/>
    </row>
    <row r="200" spans="1:1" s="31" customFormat="1" x14ac:dyDescent="0.25">
      <c r="A200" s="28"/>
    </row>
    <row r="201" spans="1:1" s="31" customFormat="1" x14ac:dyDescent="0.25">
      <c r="A201" s="28"/>
    </row>
    <row r="202" spans="1:1" s="31" customFormat="1" x14ac:dyDescent="0.25">
      <c r="A202" s="28"/>
    </row>
    <row r="203" spans="1:1" s="31" customFormat="1" x14ac:dyDescent="0.25">
      <c r="A203" s="28"/>
    </row>
    <row r="204" spans="1:1" s="31" customFormat="1" x14ac:dyDescent="0.25">
      <c r="A204" s="28"/>
    </row>
    <row r="205" spans="1:1" s="31" customFormat="1" x14ac:dyDescent="0.25">
      <c r="A205" s="28"/>
    </row>
    <row r="206" spans="1:1" s="31" customFormat="1" x14ac:dyDescent="0.25">
      <c r="A206" s="28"/>
    </row>
    <row r="207" spans="1:1" s="31" customFormat="1" x14ac:dyDescent="0.25">
      <c r="A207" s="28"/>
    </row>
    <row r="208" spans="1:1" s="31" customFormat="1" x14ac:dyDescent="0.25">
      <c r="A208" s="28"/>
    </row>
    <row r="209" spans="1:1" s="31" customFormat="1" x14ac:dyDescent="0.25">
      <c r="A209" s="28"/>
    </row>
    <row r="210" spans="1:1" s="31" customFormat="1" x14ac:dyDescent="0.25">
      <c r="A210" s="28"/>
    </row>
    <row r="211" spans="1:1" s="31" customFormat="1" x14ac:dyDescent="0.25">
      <c r="A211" s="28"/>
    </row>
    <row r="212" spans="1:1" s="31" customFormat="1" x14ac:dyDescent="0.25">
      <c r="A212" s="28"/>
    </row>
    <row r="213" spans="1:1" s="31" customFormat="1" x14ac:dyDescent="0.25">
      <c r="A213" s="28"/>
    </row>
    <row r="214" spans="1:1" s="31" customFormat="1" x14ac:dyDescent="0.25">
      <c r="A214" s="28"/>
    </row>
    <row r="215" spans="1:1" s="31" customFormat="1" x14ac:dyDescent="0.25">
      <c r="A215" s="28"/>
    </row>
    <row r="216" spans="1:1" s="31" customFormat="1" x14ac:dyDescent="0.25">
      <c r="A216" s="28"/>
    </row>
    <row r="217" spans="1:1" s="31" customFormat="1" x14ac:dyDescent="0.25">
      <c r="A217" s="28"/>
    </row>
    <row r="218" spans="1:1" s="31" customFormat="1" x14ac:dyDescent="0.25">
      <c r="A218" s="28"/>
    </row>
    <row r="219" spans="1:1" s="31" customFormat="1" x14ac:dyDescent="0.25">
      <c r="A219" s="28"/>
    </row>
    <row r="220" spans="1:1" s="31" customFormat="1" x14ac:dyDescent="0.25">
      <c r="A220" s="28"/>
    </row>
    <row r="221" spans="1:1" s="31" customFormat="1" x14ac:dyDescent="0.25">
      <c r="A221" s="28"/>
    </row>
    <row r="222" spans="1:1" s="31" customFormat="1" x14ac:dyDescent="0.25">
      <c r="A222" s="28"/>
    </row>
    <row r="223" spans="1:1" s="31" customFormat="1" x14ac:dyDescent="0.25">
      <c r="A223" s="28"/>
    </row>
    <row r="224" spans="1:1" s="31" customFormat="1" x14ac:dyDescent="0.25">
      <c r="A224" s="28"/>
    </row>
    <row r="225" spans="1:1" s="31" customFormat="1" x14ac:dyDescent="0.25">
      <c r="A225" s="28"/>
    </row>
    <row r="226" spans="1:1" s="31" customFormat="1" x14ac:dyDescent="0.25">
      <c r="A226" s="28"/>
    </row>
    <row r="227" spans="1:1" s="31" customFormat="1" x14ac:dyDescent="0.25">
      <c r="A227" s="28"/>
    </row>
    <row r="228" spans="1:1" s="31" customFormat="1" x14ac:dyDescent="0.25">
      <c r="A228" s="28"/>
    </row>
    <row r="229" spans="1:1" s="31" customFormat="1" x14ac:dyDescent="0.25">
      <c r="A229" s="28"/>
    </row>
    <row r="230" spans="1:1" s="31" customFormat="1" x14ac:dyDescent="0.25">
      <c r="A230" s="28"/>
    </row>
    <row r="231" spans="1:1" s="31" customFormat="1" x14ac:dyDescent="0.25">
      <c r="A231" s="28"/>
    </row>
    <row r="232" spans="1:1" s="31" customFormat="1" x14ac:dyDescent="0.25">
      <c r="A232" s="28"/>
    </row>
    <row r="233" spans="1:1" s="31" customFormat="1" x14ac:dyDescent="0.25">
      <c r="A233" s="28"/>
    </row>
    <row r="234" spans="1:1" s="31" customFormat="1" x14ac:dyDescent="0.25">
      <c r="A234" s="28"/>
    </row>
    <row r="235" spans="1:1" s="31" customFormat="1" x14ac:dyDescent="0.25">
      <c r="A235" s="28"/>
    </row>
    <row r="236" spans="1:1" s="31" customFormat="1" x14ac:dyDescent="0.25">
      <c r="A236" s="28"/>
    </row>
    <row r="237" spans="1:1" s="31" customFormat="1" x14ac:dyDescent="0.25">
      <c r="A237" s="28"/>
    </row>
    <row r="238" spans="1:1" s="31" customFormat="1" x14ac:dyDescent="0.25">
      <c r="A238" s="28"/>
    </row>
    <row r="239" spans="1:1" s="31" customFormat="1" x14ac:dyDescent="0.25">
      <c r="A239" s="28"/>
    </row>
    <row r="240" spans="1:1" s="31" customFormat="1" x14ac:dyDescent="0.25">
      <c r="A240" s="28"/>
    </row>
    <row r="241" spans="1:1" s="31" customFormat="1" x14ac:dyDescent="0.25">
      <c r="A241" s="28"/>
    </row>
    <row r="242" spans="1:1" s="31" customFormat="1" x14ac:dyDescent="0.25">
      <c r="A242" s="28"/>
    </row>
    <row r="243" spans="1:1" s="31" customFormat="1" x14ac:dyDescent="0.25">
      <c r="A243" s="28"/>
    </row>
    <row r="244" spans="1:1" s="31" customFormat="1" x14ac:dyDescent="0.25">
      <c r="A244" s="28"/>
    </row>
    <row r="245" spans="1:1" s="31" customFormat="1" x14ac:dyDescent="0.25">
      <c r="A245" s="28"/>
    </row>
    <row r="246" spans="1:1" s="31" customFormat="1" x14ac:dyDescent="0.25">
      <c r="A246" s="28"/>
    </row>
    <row r="247" spans="1:1" s="31" customFormat="1" x14ac:dyDescent="0.25">
      <c r="A247" s="28"/>
    </row>
    <row r="248" spans="1:1" s="31" customFormat="1" x14ac:dyDescent="0.25">
      <c r="A248" s="28"/>
    </row>
    <row r="249" spans="1:1" s="31" customFormat="1" x14ac:dyDescent="0.25">
      <c r="A249" s="28"/>
    </row>
    <row r="250" spans="1:1" s="31" customFormat="1" x14ac:dyDescent="0.25">
      <c r="A250" s="28"/>
    </row>
    <row r="251" spans="1:1" s="31" customFormat="1" x14ac:dyDescent="0.25">
      <c r="A251" s="28"/>
    </row>
    <row r="252" spans="1:1" s="31" customFormat="1" x14ac:dyDescent="0.25">
      <c r="A252" s="28"/>
    </row>
    <row r="253" spans="1:1" s="31" customFormat="1" x14ac:dyDescent="0.25">
      <c r="A253" s="28"/>
    </row>
    <row r="254" spans="1:1" s="31" customFormat="1" x14ac:dyDescent="0.25">
      <c r="A254" s="28"/>
    </row>
    <row r="255" spans="1:1" s="31" customFormat="1" x14ac:dyDescent="0.25">
      <c r="A255" s="28"/>
    </row>
    <row r="256" spans="1:1" s="31" customFormat="1" x14ac:dyDescent="0.25">
      <c r="A256" s="28"/>
    </row>
    <row r="257" spans="1:1" s="31" customFormat="1" x14ac:dyDescent="0.25">
      <c r="A257" s="28"/>
    </row>
    <row r="258" spans="1:1" s="31" customFormat="1" x14ac:dyDescent="0.25">
      <c r="A258" s="28"/>
    </row>
    <row r="259" spans="1:1" s="31" customFormat="1" x14ac:dyDescent="0.25">
      <c r="A259" s="28"/>
    </row>
    <row r="260" spans="1:1" s="31" customFormat="1" x14ac:dyDescent="0.25">
      <c r="A260" s="28"/>
    </row>
    <row r="261" spans="1:1" s="31" customFormat="1" x14ac:dyDescent="0.25">
      <c r="A261" s="28"/>
    </row>
    <row r="262" spans="1:1" s="31" customFormat="1" x14ac:dyDescent="0.25">
      <c r="A262" s="28"/>
    </row>
    <row r="263" spans="1:1" s="31" customFormat="1" x14ac:dyDescent="0.25">
      <c r="A263" s="28"/>
    </row>
    <row r="264" spans="1:1" s="31" customFormat="1" x14ac:dyDescent="0.25">
      <c r="A264" s="28"/>
    </row>
    <row r="265" spans="1:1" s="31" customFormat="1" x14ac:dyDescent="0.25">
      <c r="A265" s="28"/>
    </row>
    <row r="266" spans="1:1" s="31" customFormat="1" x14ac:dyDescent="0.25">
      <c r="A266" s="28"/>
    </row>
    <row r="267" spans="1:1" s="31" customFormat="1" x14ac:dyDescent="0.25">
      <c r="A267" s="28"/>
    </row>
    <row r="268" spans="1:1" s="31" customFormat="1" x14ac:dyDescent="0.25">
      <c r="A268" s="28"/>
    </row>
    <row r="269" spans="1:1" s="31" customFormat="1" x14ac:dyDescent="0.25">
      <c r="A269" s="28"/>
    </row>
    <row r="270" spans="1:1" s="31" customFormat="1" x14ac:dyDescent="0.25">
      <c r="A270" s="28"/>
    </row>
    <row r="271" spans="1:1" s="31" customFormat="1" x14ac:dyDescent="0.25">
      <c r="A271" s="28"/>
    </row>
    <row r="272" spans="1:1" s="31" customFormat="1" x14ac:dyDescent="0.25">
      <c r="A272" s="28"/>
    </row>
    <row r="273" spans="1:1" s="31" customFormat="1" x14ac:dyDescent="0.25">
      <c r="A273" s="28"/>
    </row>
    <row r="274" spans="1:1" s="31" customFormat="1" x14ac:dyDescent="0.25">
      <c r="A274" s="28"/>
    </row>
    <row r="275" spans="1:1" s="31" customFormat="1" x14ac:dyDescent="0.25">
      <c r="A275" s="28"/>
    </row>
    <row r="276" spans="1:1" s="31" customFormat="1" x14ac:dyDescent="0.25">
      <c r="A276" s="28"/>
    </row>
    <row r="277" spans="1:1" s="31" customFormat="1" x14ac:dyDescent="0.25">
      <c r="A277" s="28"/>
    </row>
    <row r="278" spans="1:1" s="31" customFormat="1" x14ac:dyDescent="0.25">
      <c r="A278" s="28"/>
    </row>
    <row r="279" spans="1:1" s="31" customFormat="1" x14ac:dyDescent="0.25">
      <c r="A279" s="28"/>
    </row>
    <row r="280" spans="1:1" s="31" customFormat="1" x14ac:dyDescent="0.25">
      <c r="A280" s="28"/>
    </row>
    <row r="281" spans="1:1" s="31" customFormat="1" x14ac:dyDescent="0.25">
      <c r="A281" s="28"/>
    </row>
    <row r="282" spans="1:1" s="31" customFormat="1" x14ac:dyDescent="0.25">
      <c r="A282" s="28"/>
    </row>
    <row r="283" spans="1:1" s="31" customFormat="1" x14ac:dyDescent="0.25">
      <c r="A283" s="28"/>
    </row>
    <row r="284" spans="1:1" s="31" customFormat="1" x14ac:dyDescent="0.25">
      <c r="A284" s="28"/>
    </row>
    <row r="285" spans="1:1" s="31" customFormat="1" x14ac:dyDescent="0.25">
      <c r="A285" s="28"/>
    </row>
    <row r="286" spans="1:1" s="31" customFormat="1" x14ac:dyDescent="0.25">
      <c r="A286" s="28"/>
    </row>
    <row r="287" spans="1:1" s="31" customFormat="1" x14ac:dyDescent="0.25">
      <c r="A287" s="28"/>
    </row>
    <row r="288" spans="1:1" s="31" customFormat="1" x14ac:dyDescent="0.25">
      <c r="A288" s="28"/>
    </row>
    <row r="289" spans="1:1" s="31" customFormat="1" x14ac:dyDescent="0.25">
      <c r="A289" s="28"/>
    </row>
    <row r="290" spans="1:1" s="31" customFormat="1" x14ac:dyDescent="0.25">
      <c r="A290" s="28"/>
    </row>
    <row r="291" spans="1:1" s="31" customFormat="1" x14ac:dyDescent="0.25">
      <c r="A291" s="28"/>
    </row>
    <row r="292" spans="1:1" s="31" customFormat="1" x14ac:dyDescent="0.25">
      <c r="A292" s="28"/>
    </row>
    <row r="293" spans="1:1" s="31" customFormat="1" x14ac:dyDescent="0.25">
      <c r="A293" s="28"/>
    </row>
    <row r="294" spans="1:1" s="31" customFormat="1" x14ac:dyDescent="0.25">
      <c r="A294" s="28"/>
    </row>
    <row r="295" spans="1:1" s="31" customFormat="1" x14ac:dyDescent="0.25">
      <c r="A295" s="28"/>
    </row>
    <row r="296" spans="1:1" s="31" customFormat="1" x14ac:dyDescent="0.25">
      <c r="A296" s="28"/>
    </row>
    <row r="297" spans="1:1" s="31" customFormat="1" x14ac:dyDescent="0.25">
      <c r="A297" s="28"/>
    </row>
    <row r="298" spans="1:1" s="31" customFormat="1" x14ac:dyDescent="0.25">
      <c r="A298" s="28"/>
    </row>
    <row r="299" spans="1:1" s="31" customFormat="1" x14ac:dyDescent="0.25">
      <c r="A299" s="28"/>
    </row>
    <row r="300" spans="1:1" s="31" customFormat="1" x14ac:dyDescent="0.25">
      <c r="A300" s="28"/>
    </row>
    <row r="301" spans="1:1" s="31" customFormat="1" x14ac:dyDescent="0.25">
      <c r="A301" s="28"/>
    </row>
    <row r="302" spans="1:1" s="31" customFormat="1" x14ac:dyDescent="0.25">
      <c r="A302" s="28"/>
    </row>
    <row r="303" spans="1:1" s="31" customFormat="1" x14ac:dyDescent="0.25">
      <c r="A303" s="28"/>
    </row>
    <row r="304" spans="1:1" s="31" customFormat="1" x14ac:dyDescent="0.25">
      <c r="A304" s="28"/>
    </row>
    <row r="305" spans="1:1" s="31" customFormat="1" x14ac:dyDescent="0.25">
      <c r="A305" s="28"/>
    </row>
    <row r="306" spans="1:1" s="31" customFormat="1" x14ac:dyDescent="0.25">
      <c r="A306" s="28"/>
    </row>
    <row r="307" spans="1:1" s="31" customFormat="1" x14ac:dyDescent="0.25">
      <c r="A307" s="28"/>
    </row>
    <row r="308" spans="1:1" s="31" customFormat="1" x14ac:dyDescent="0.25">
      <c r="A308" s="28"/>
    </row>
    <row r="309" spans="1:1" s="31" customFormat="1" x14ac:dyDescent="0.25">
      <c r="A309" s="28"/>
    </row>
    <row r="310" spans="1:1" s="31" customFormat="1" x14ac:dyDescent="0.25">
      <c r="A310" s="28"/>
    </row>
    <row r="311" spans="1:1" s="31" customFormat="1" x14ac:dyDescent="0.25">
      <c r="A311" s="28"/>
    </row>
    <row r="312" spans="1:1" s="31" customFormat="1" x14ac:dyDescent="0.25">
      <c r="A312" s="28"/>
    </row>
    <row r="313" spans="1:1" s="31" customFormat="1" x14ac:dyDescent="0.25">
      <c r="A313" s="28"/>
    </row>
    <row r="314" spans="1:1" s="31" customFormat="1" x14ac:dyDescent="0.25">
      <c r="A314" s="28"/>
    </row>
    <row r="315" spans="1:1" s="31" customFormat="1" x14ac:dyDescent="0.25">
      <c r="A315" s="28"/>
    </row>
    <row r="316" spans="1:1" s="31" customFormat="1" x14ac:dyDescent="0.25">
      <c r="A316" s="28"/>
    </row>
    <row r="317" spans="1:1" s="31" customFormat="1" x14ac:dyDescent="0.25">
      <c r="A317" s="28"/>
    </row>
    <row r="318" spans="1:1" s="31" customFormat="1" x14ac:dyDescent="0.25">
      <c r="A318" s="28"/>
    </row>
    <row r="319" spans="1:1" s="31" customFormat="1" x14ac:dyDescent="0.25">
      <c r="A319" s="28"/>
    </row>
    <row r="320" spans="1:1" s="31" customFormat="1" x14ac:dyDescent="0.25">
      <c r="A320" s="28"/>
    </row>
    <row r="321" spans="1:1" s="31" customFormat="1" x14ac:dyDescent="0.25">
      <c r="A321" s="28"/>
    </row>
    <row r="322" spans="1:1" s="31" customFormat="1" x14ac:dyDescent="0.25">
      <c r="A322" s="28"/>
    </row>
    <row r="323" spans="1:1" s="31" customFormat="1" x14ac:dyDescent="0.25">
      <c r="A323" s="28"/>
    </row>
    <row r="324" spans="1:1" s="31" customFormat="1" x14ac:dyDescent="0.25">
      <c r="A324" s="28"/>
    </row>
    <row r="325" spans="1:1" s="31" customFormat="1" x14ac:dyDescent="0.25">
      <c r="A325" s="28"/>
    </row>
    <row r="326" spans="1:1" s="31" customFormat="1" x14ac:dyDescent="0.25">
      <c r="A326" s="28"/>
    </row>
    <row r="327" spans="1:1" s="31" customFormat="1" x14ac:dyDescent="0.25">
      <c r="A327" s="28"/>
    </row>
    <row r="328" spans="1:1" s="31" customFormat="1" x14ac:dyDescent="0.25">
      <c r="A328" s="28"/>
    </row>
    <row r="329" spans="1:1" s="31" customFormat="1" x14ac:dyDescent="0.25">
      <c r="A329" s="28"/>
    </row>
    <row r="330" spans="1:1" s="31" customFormat="1" x14ac:dyDescent="0.25">
      <c r="A330" s="28"/>
    </row>
    <row r="331" spans="1:1" s="31" customFormat="1" x14ac:dyDescent="0.25">
      <c r="A331" s="28"/>
    </row>
    <row r="332" spans="1:1" s="31" customFormat="1" x14ac:dyDescent="0.25">
      <c r="A332" s="28"/>
    </row>
    <row r="333" spans="1:1" s="31" customFormat="1" x14ac:dyDescent="0.25">
      <c r="A333" s="28"/>
    </row>
    <row r="334" spans="1:1" s="31" customFormat="1" x14ac:dyDescent="0.25">
      <c r="A334" s="28"/>
    </row>
    <row r="335" spans="1:1" s="31" customFormat="1" x14ac:dyDescent="0.25">
      <c r="A335" s="28"/>
    </row>
    <row r="336" spans="1:1" s="31" customFormat="1" x14ac:dyDescent="0.25">
      <c r="A336" s="28"/>
    </row>
    <row r="337" spans="1:1" s="31" customFormat="1" x14ac:dyDescent="0.25">
      <c r="A337" s="28"/>
    </row>
    <row r="338" spans="1:1" s="31" customFormat="1" x14ac:dyDescent="0.25">
      <c r="A338" s="28"/>
    </row>
    <row r="339" spans="1:1" s="31" customFormat="1" x14ac:dyDescent="0.25">
      <c r="A339" s="28"/>
    </row>
    <row r="340" spans="1:1" s="31" customFormat="1" x14ac:dyDescent="0.25">
      <c r="A340" s="28"/>
    </row>
    <row r="341" spans="1:1" s="31" customFormat="1" x14ac:dyDescent="0.25">
      <c r="A341" s="28"/>
    </row>
    <row r="342" spans="1:1" s="31" customFormat="1" x14ac:dyDescent="0.25">
      <c r="A342" s="28"/>
    </row>
    <row r="343" spans="1:1" s="31" customFormat="1" x14ac:dyDescent="0.25">
      <c r="A343" s="28"/>
    </row>
    <row r="344" spans="1:1" s="31" customFormat="1" x14ac:dyDescent="0.25">
      <c r="A344" s="28"/>
    </row>
    <row r="345" spans="1:1" s="31" customFormat="1" x14ac:dyDescent="0.25">
      <c r="A345" s="28"/>
    </row>
    <row r="346" spans="1:1" s="31" customFormat="1" x14ac:dyDescent="0.25">
      <c r="A346" s="28"/>
    </row>
    <row r="347" spans="1:1" s="31" customFormat="1" x14ac:dyDescent="0.25">
      <c r="A347" s="28"/>
    </row>
    <row r="348" spans="1:1" s="31" customFormat="1" x14ac:dyDescent="0.25">
      <c r="A348" s="28"/>
    </row>
    <row r="349" spans="1:1" s="31" customFormat="1" x14ac:dyDescent="0.25">
      <c r="A349" s="28"/>
    </row>
    <row r="350" spans="1:1" s="31" customFormat="1" x14ac:dyDescent="0.25">
      <c r="A350" s="28"/>
    </row>
    <row r="351" spans="1:1" s="31" customFormat="1" x14ac:dyDescent="0.25">
      <c r="A351" s="28"/>
    </row>
    <row r="352" spans="1:1" s="31" customFormat="1" x14ac:dyDescent="0.25">
      <c r="A352" s="28"/>
    </row>
    <row r="353" spans="1:1" s="31" customFormat="1" x14ac:dyDescent="0.25">
      <c r="A353" s="28"/>
    </row>
    <row r="354" spans="1:1" s="31" customFormat="1" x14ac:dyDescent="0.25">
      <c r="A354" s="28"/>
    </row>
    <row r="355" spans="1:1" s="31" customFormat="1" x14ac:dyDescent="0.25">
      <c r="A355" s="28"/>
    </row>
    <row r="356" spans="1:1" s="31" customFormat="1" x14ac:dyDescent="0.25">
      <c r="A356" s="28"/>
    </row>
    <row r="357" spans="1:1" s="31" customFormat="1" x14ac:dyDescent="0.25">
      <c r="A357" s="28"/>
    </row>
    <row r="358" spans="1:1" s="31" customFormat="1" x14ac:dyDescent="0.25">
      <c r="A358" s="28"/>
    </row>
    <row r="359" spans="1:1" s="31" customFormat="1" x14ac:dyDescent="0.25">
      <c r="A359" s="28"/>
    </row>
    <row r="360" spans="1:1" s="31" customFormat="1" x14ac:dyDescent="0.25">
      <c r="A360" s="28"/>
    </row>
    <row r="361" spans="1:1" s="31" customFormat="1" x14ac:dyDescent="0.25">
      <c r="A361" s="28"/>
    </row>
    <row r="362" spans="1:1" s="31" customFormat="1" x14ac:dyDescent="0.25">
      <c r="A362" s="28"/>
    </row>
    <row r="363" spans="1:1" s="31" customFormat="1" x14ac:dyDescent="0.25">
      <c r="A363" s="28"/>
    </row>
    <row r="364" spans="1:1" s="31" customFormat="1" x14ac:dyDescent="0.25">
      <c r="A364" s="28"/>
    </row>
    <row r="365" spans="1:1" s="31" customFormat="1" x14ac:dyDescent="0.25">
      <c r="A365" s="28"/>
    </row>
    <row r="366" spans="1:1" s="31" customFormat="1" x14ac:dyDescent="0.25">
      <c r="A366" s="28"/>
    </row>
    <row r="367" spans="1:1" s="31" customFormat="1" x14ac:dyDescent="0.25">
      <c r="A367" s="28"/>
    </row>
    <row r="368" spans="1:1" s="31" customFormat="1" x14ac:dyDescent="0.25">
      <c r="A368" s="28"/>
    </row>
    <row r="369" spans="1:1" s="31" customFormat="1" x14ac:dyDescent="0.25">
      <c r="A369" s="28"/>
    </row>
    <row r="370" spans="1:1" s="31" customFormat="1" x14ac:dyDescent="0.25">
      <c r="A370" s="28"/>
    </row>
    <row r="371" spans="1:1" s="31" customFormat="1" x14ac:dyDescent="0.25">
      <c r="A371" s="28"/>
    </row>
    <row r="372" spans="1:1" s="31" customFormat="1" x14ac:dyDescent="0.25">
      <c r="A372" s="28"/>
    </row>
    <row r="373" spans="1:1" s="31" customFormat="1" x14ac:dyDescent="0.25">
      <c r="A373" s="28"/>
    </row>
    <row r="374" spans="1:1" s="31" customFormat="1" x14ac:dyDescent="0.25">
      <c r="A374" s="28"/>
    </row>
    <row r="375" spans="1:1" s="31" customFormat="1" x14ac:dyDescent="0.25">
      <c r="A375" s="28"/>
    </row>
    <row r="376" spans="1:1" s="31" customFormat="1" x14ac:dyDescent="0.25">
      <c r="A376" s="28"/>
    </row>
    <row r="377" spans="1:1" s="31" customFormat="1" x14ac:dyDescent="0.25">
      <c r="A377" s="28"/>
    </row>
    <row r="378" spans="1:1" s="31" customFormat="1" x14ac:dyDescent="0.25">
      <c r="A378" s="28"/>
    </row>
    <row r="379" spans="1:1" s="31" customFormat="1" x14ac:dyDescent="0.25">
      <c r="A379" s="28"/>
    </row>
    <row r="380" spans="1:1" s="31" customFormat="1" x14ac:dyDescent="0.25">
      <c r="A380" s="28"/>
    </row>
    <row r="381" spans="1:1" s="31" customFormat="1" x14ac:dyDescent="0.25">
      <c r="A381" s="28"/>
    </row>
    <row r="382" spans="1:1" s="31" customFormat="1" x14ac:dyDescent="0.25">
      <c r="A382" s="28"/>
    </row>
    <row r="383" spans="1:1" s="31" customFormat="1" x14ac:dyDescent="0.25">
      <c r="A383" s="28"/>
    </row>
    <row r="384" spans="1:1" s="31" customFormat="1" x14ac:dyDescent="0.25">
      <c r="A384" s="28"/>
    </row>
    <row r="385" spans="1:1" s="31" customFormat="1" x14ac:dyDescent="0.25">
      <c r="A385" s="28"/>
    </row>
    <row r="386" spans="1:1" s="31" customFormat="1" x14ac:dyDescent="0.25">
      <c r="A386" s="28"/>
    </row>
    <row r="387" spans="1:1" s="31" customFormat="1" x14ac:dyDescent="0.25">
      <c r="A387" s="28"/>
    </row>
    <row r="388" spans="1:1" s="31" customFormat="1" x14ac:dyDescent="0.25">
      <c r="A388" s="28"/>
    </row>
    <row r="389" spans="1:1" s="31" customFormat="1" x14ac:dyDescent="0.25">
      <c r="A389" s="28"/>
    </row>
    <row r="390" spans="1:1" s="31" customFormat="1" x14ac:dyDescent="0.25">
      <c r="A390" s="28"/>
    </row>
    <row r="391" spans="1:1" s="31" customFormat="1" x14ac:dyDescent="0.25">
      <c r="A391" s="28"/>
    </row>
    <row r="392" spans="1:1" s="31" customFormat="1" x14ac:dyDescent="0.25">
      <c r="A392" s="28"/>
    </row>
    <row r="393" spans="1:1" s="31" customFormat="1" x14ac:dyDescent="0.25">
      <c r="A393" s="28"/>
    </row>
    <row r="394" spans="1:1" s="31" customFormat="1" x14ac:dyDescent="0.25">
      <c r="A394" s="28"/>
    </row>
    <row r="395" spans="1:1" s="31" customFormat="1" x14ac:dyDescent="0.25">
      <c r="A395" s="28"/>
    </row>
    <row r="396" spans="1:1" s="31" customFormat="1" x14ac:dyDescent="0.25">
      <c r="A396" s="28"/>
    </row>
    <row r="397" spans="1:1" s="31" customFormat="1" x14ac:dyDescent="0.25">
      <c r="A397" s="28"/>
    </row>
    <row r="398" spans="1:1" s="31" customFormat="1" x14ac:dyDescent="0.25">
      <c r="A398" s="28"/>
    </row>
    <row r="399" spans="1:1" s="31" customFormat="1" x14ac:dyDescent="0.25">
      <c r="A399" s="28"/>
    </row>
    <row r="400" spans="1:1" s="31" customFormat="1" x14ac:dyDescent="0.25">
      <c r="A400" s="28"/>
    </row>
    <row r="401" spans="1:1" s="31" customFormat="1" x14ac:dyDescent="0.25">
      <c r="A401" s="28"/>
    </row>
    <row r="402" spans="1:1" s="31" customFormat="1" x14ac:dyDescent="0.25">
      <c r="A402" s="28"/>
    </row>
    <row r="403" spans="1:1" s="31" customFormat="1" x14ac:dyDescent="0.25">
      <c r="A403" s="28"/>
    </row>
    <row r="404" spans="1:1" s="31" customFormat="1" x14ac:dyDescent="0.25">
      <c r="A404" s="28"/>
    </row>
    <row r="405" spans="1:1" s="31" customFormat="1" x14ac:dyDescent="0.25">
      <c r="A405" s="28"/>
    </row>
    <row r="406" spans="1:1" s="31" customFormat="1" x14ac:dyDescent="0.25">
      <c r="A406" s="28"/>
    </row>
    <row r="407" spans="1:1" s="31" customFormat="1" x14ac:dyDescent="0.25">
      <c r="A407" s="28"/>
    </row>
    <row r="408" spans="1:1" s="31" customFormat="1" x14ac:dyDescent="0.25">
      <c r="A408" s="28"/>
    </row>
    <row r="409" spans="1:1" s="31" customFormat="1" x14ac:dyDescent="0.25">
      <c r="A409" s="28"/>
    </row>
    <row r="410" spans="1:1" s="31" customFormat="1" x14ac:dyDescent="0.25">
      <c r="A410" s="28"/>
    </row>
    <row r="411" spans="1:1" s="31" customFormat="1" x14ac:dyDescent="0.25">
      <c r="A411" s="28"/>
    </row>
    <row r="412" spans="1:1" s="31" customFormat="1" x14ac:dyDescent="0.25">
      <c r="A412" s="28"/>
    </row>
    <row r="413" spans="1:1" s="31" customFormat="1" x14ac:dyDescent="0.25">
      <c r="A413" s="28"/>
    </row>
    <row r="414" spans="1:1" s="31" customFormat="1" x14ac:dyDescent="0.25">
      <c r="A414" s="28"/>
    </row>
    <row r="415" spans="1:1" s="31" customFormat="1" x14ac:dyDescent="0.25">
      <c r="A415" s="28"/>
    </row>
    <row r="416" spans="1:1" s="31" customFormat="1" x14ac:dyDescent="0.25">
      <c r="A416" s="28"/>
    </row>
    <row r="417" spans="1:1" s="31" customFormat="1" x14ac:dyDescent="0.25">
      <c r="A417" s="28"/>
    </row>
    <row r="418" spans="1:1" s="31" customFormat="1" x14ac:dyDescent="0.25">
      <c r="A418" s="28"/>
    </row>
    <row r="419" spans="1:1" s="31" customFormat="1" x14ac:dyDescent="0.25">
      <c r="A419" s="28"/>
    </row>
    <row r="420" spans="1:1" s="31" customFormat="1" x14ac:dyDescent="0.25">
      <c r="A420" s="28"/>
    </row>
    <row r="421" spans="1:1" s="31" customFormat="1" x14ac:dyDescent="0.25">
      <c r="A421" s="28"/>
    </row>
    <row r="422" spans="1:1" s="31" customFormat="1" x14ac:dyDescent="0.25">
      <c r="A422" s="28"/>
    </row>
    <row r="423" spans="1:1" s="31" customFormat="1" x14ac:dyDescent="0.25">
      <c r="A423" s="28"/>
    </row>
    <row r="424" spans="1:1" s="31" customFormat="1" x14ac:dyDescent="0.25">
      <c r="A424" s="28"/>
    </row>
    <row r="425" spans="1:1" s="31" customFormat="1" x14ac:dyDescent="0.25">
      <c r="A425" s="28"/>
    </row>
    <row r="426" spans="1:1" s="31" customFormat="1" x14ac:dyDescent="0.25">
      <c r="A426" s="28"/>
    </row>
    <row r="427" spans="1:1" s="31" customFormat="1" x14ac:dyDescent="0.25">
      <c r="A427" s="28"/>
    </row>
    <row r="428" spans="1:1" s="31" customFormat="1" x14ac:dyDescent="0.25">
      <c r="A428" s="28"/>
    </row>
    <row r="429" spans="1:1" s="31" customFormat="1" x14ac:dyDescent="0.25">
      <c r="A429" s="28"/>
    </row>
    <row r="430" spans="1:1" s="31" customFormat="1" x14ac:dyDescent="0.25">
      <c r="A430" s="28"/>
    </row>
    <row r="431" spans="1:1" s="31" customFormat="1" x14ac:dyDescent="0.25">
      <c r="A431" s="28"/>
    </row>
    <row r="432" spans="1:1" s="31" customFormat="1" x14ac:dyDescent="0.25">
      <c r="A432" s="28"/>
    </row>
    <row r="433" spans="1:1" s="31" customFormat="1" x14ac:dyDescent="0.25">
      <c r="A433" s="28"/>
    </row>
    <row r="434" spans="1:1" s="31" customFormat="1" x14ac:dyDescent="0.25">
      <c r="A434" s="28"/>
    </row>
    <row r="435" spans="1:1" s="31" customFormat="1" x14ac:dyDescent="0.25">
      <c r="A435" s="28"/>
    </row>
    <row r="436" spans="1:1" s="31" customFormat="1" x14ac:dyDescent="0.25">
      <c r="A436" s="28"/>
    </row>
    <row r="437" spans="1:1" s="31" customFormat="1" x14ac:dyDescent="0.25">
      <c r="A437" s="28"/>
    </row>
    <row r="438" spans="1:1" s="31" customFormat="1" x14ac:dyDescent="0.25">
      <c r="A438" s="28"/>
    </row>
    <row r="439" spans="1:1" s="31" customFormat="1" x14ac:dyDescent="0.25">
      <c r="A439" s="28"/>
    </row>
    <row r="440" spans="1:1" s="31" customFormat="1" x14ac:dyDescent="0.25">
      <c r="A440" s="28"/>
    </row>
    <row r="441" spans="1:1" s="31" customFormat="1" x14ac:dyDescent="0.25">
      <c r="A441" s="28"/>
    </row>
    <row r="442" spans="1:1" s="31" customFormat="1" x14ac:dyDescent="0.25">
      <c r="A442" s="28"/>
    </row>
    <row r="443" spans="1:1" s="31" customFormat="1" x14ac:dyDescent="0.25">
      <c r="A443" s="28"/>
    </row>
    <row r="444" spans="1:1" s="31" customFormat="1" x14ac:dyDescent="0.25">
      <c r="A444" s="28"/>
    </row>
    <row r="445" spans="1:1" s="31" customFormat="1" x14ac:dyDescent="0.25">
      <c r="A445" s="28"/>
    </row>
    <row r="446" spans="1:1" s="31" customFormat="1" x14ac:dyDescent="0.25">
      <c r="A446" s="28"/>
    </row>
    <row r="447" spans="1:1" s="31" customFormat="1" x14ac:dyDescent="0.25">
      <c r="A447" s="28"/>
    </row>
    <row r="448" spans="1:1" s="31" customFormat="1" x14ac:dyDescent="0.25">
      <c r="A448" s="28"/>
    </row>
    <row r="449" spans="1:1" s="31" customFormat="1" x14ac:dyDescent="0.25">
      <c r="A449" s="28"/>
    </row>
    <row r="450" spans="1:1" s="31" customFormat="1" x14ac:dyDescent="0.25">
      <c r="A450" s="28"/>
    </row>
    <row r="451" spans="1:1" s="31" customFormat="1" x14ac:dyDescent="0.25">
      <c r="A451" s="28"/>
    </row>
    <row r="452" spans="1:1" s="31" customFormat="1" x14ac:dyDescent="0.25">
      <c r="A452" s="28"/>
    </row>
    <row r="453" spans="1:1" s="31" customFormat="1" x14ac:dyDescent="0.25">
      <c r="A453" s="28"/>
    </row>
    <row r="454" spans="1:1" s="31" customFormat="1" x14ac:dyDescent="0.25">
      <c r="A454" s="28"/>
    </row>
    <row r="455" spans="1:1" s="31" customFormat="1" x14ac:dyDescent="0.25">
      <c r="A455" s="28"/>
    </row>
    <row r="456" spans="1:1" s="31" customFormat="1" x14ac:dyDescent="0.25">
      <c r="A456" s="28"/>
    </row>
    <row r="457" spans="1:1" s="31" customFormat="1" x14ac:dyDescent="0.25">
      <c r="A457" s="28"/>
    </row>
    <row r="458" spans="1:1" s="31" customFormat="1" x14ac:dyDescent="0.25">
      <c r="A458" s="28"/>
    </row>
    <row r="459" spans="1:1" s="31" customFormat="1" x14ac:dyDescent="0.25">
      <c r="A459" s="28"/>
    </row>
    <row r="460" spans="1:1" s="31" customFormat="1" x14ac:dyDescent="0.25">
      <c r="A460" s="28"/>
    </row>
    <row r="461" spans="1:1" s="31" customFormat="1" x14ac:dyDescent="0.25">
      <c r="A461" s="28"/>
    </row>
    <row r="462" spans="1:1" s="31" customFormat="1" x14ac:dyDescent="0.25">
      <c r="A462" s="28"/>
    </row>
    <row r="463" spans="1:1" s="31" customFormat="1" x14ac:dyDescent="0.25">
      <c r="A463" s="28"/>
    </row>
    <row r="464" spans="1:1" s="31" customFormat="1" x14ac:dyDescent="0.25">
      <c r="A464" s="28"/>
    </row>
    <row r="465" spans="1:1" s="31" customFormat="1" x14ac:dyDescent="0.25">
      <c r="A465" s="28"/>
    </row>
    <row r="466" spans="1:1" s="31" customFormat="1" x14ac:dyDescent="0.25">
      <c r="A466" s="28"/>
    </row>
    <row r="467" spans="1:1" s="31" customFormat="1" x14ac:dyDescent="0.25">
      <c r="A467" s="28"/>
    </row>
    <row r="468" spans="1:1" s="31" customFormat="1" x14ac:dyDescent="0.25">
      <c r="A468" s="28"/>
    </row>
    <row r="469" spans="1:1" s="31" customFormat="1" x14ac:dyDescent="0.25">
      <c r="A469" s="28"/>
    </row>
    <row r="470" spans="1:1" s="31" customFormat="1" x14ac:dyDescent="0.25">
      <c r="A470" s="28"/>
    </row>
    <row r="471" spans="1:1" s="31" customFormat="1" x14ac:dyDescent="0.25">
      <c r="A471" s="28"/>
    </row>
    <row r="472" spans="1:1" s="31" customFormat="1" x14ac:dyDescent="0.25">
      <c r="A472" s="28"/>
    </row>
    <row r="473" spans="1:1" s="31" customFormat="1" x14ac:dyDescent="0.25">
      <c r="A473" s="28"/>
    </row>
    <row r="474" spans="1:1" s="31" customFormat="1" x14ac:dyDescent="0.25">
      <c r="A474" s="28"/>
    </row>
    <row r="475" spans="1:1" s="31" customFormat="1" x14ac:dyDescent="0.25">
      <c r="A475" s="28"/>
    </row>
    <row r="476" spans="1:1" s="31" customFormat="1" x14ac:dyDescent="0.25">
      <c r="A476" s="28"/>
    </row>
    <row r="477" spans="1:1" s="31" customFormat="1" x14ac:dyDescent="0.25">
      <c r="A477" s="28"/>
    </row>
    <row r="478" spans="1:1" s="31" customFormat="1" x14ac:dyDescent="0.25">
      <c r="A478" s="28"/>
    </row>
    <row r="479" spans="1:1" s="31" customFormat="1" x14ac:dyDescent="0.25">
      <c r="A479" s="28"/>
    </row>
    <row r="480" spans="1:1" s="31" customFormat="1" x14ac:dyDescent="0.25">
      <c r="A480" s="28"/>
    </row>
    <row r="481" spans="1:1" s="31" customFormat="1" x14ac:dyDescent="0.25">
      <c r="A481" s="28"/>
    </row>
    <row r="482" spans="1:1" s="31" customFormat="1" x14ac:dyDescent="0.25">
      <c r="A482" s="28"/>
    </row>
    <row r="483" spans="1:1" s="31" customFormat="1" x14ac:dyDescent="0.25">
      <c r="A483" s="28"/>
    </row>
    <row r="484" spans="1:1" s="31" customFormat="1" x14ac:dyDescent="0.25">
      <c r="A484" s="28"/>
    </row>
    <row r="485" spans="1:1" s="31" customFormat="1" x14ac:dyDescent="0.25">
      <c r="A485" s="28"/>
    </row>
    <row r="486" spans="1:1" s="31" customFormat="1" x14ac:dyDescent="0.25">
      <c r="A486" s="28"/>
    </row>
    <row r="487" spans="1:1" s="31" customFormat="1" x14ac:dyDescent="0.25">
      <c r="A487" s="28"/>
    </row>
    <row r="488" spans="1:1" s="31" customFormat="1" x14ac:dyDescent="0.25">
      <c r="A488" s="28"/>
    </row>
    <row r="489" spans="1:1" s="31" customFormat="1" x14ac:dyDescent="0.25">
      <c r="A489" s="28"/>
    </row>
    <row r="490" spans="1:1" s="31" customFormat="1" x14ac:dyDescent="0.25">
      <c r="A490" s="28"/>
    </row>
    <row r="491" spans="1:1" s="31" customFormat="1" x14ac:dyDescent="0.25">
      <c r="A491" s="28"/>
    </row>
    <row r="492" spans="1:1" s="31" customFormat="1" x14ac:dyDescent="0.25">
      <c r="A492" s="28"/>
    </row>
    <row r="493" spans="1:1" s="31" customFormat="1" x14ac:dyDescent="0.25">
      <c r="A493" s="28"/>
    </row>
    <row r="494" spans="1:1" s="31" customFormat="1" x14ac:dyDescent="0.25">
      <c r="A494" s="28"/>
    </row>
    <row r="495" spans="1:1" s="31" customFormat="1" x14ac:dyDescent="0.25">
      <c r="A495" s="28"/>
    </row>
    <row r="496" spans="1:1" s="31" customFormat="1" x14ac:dyDescent="0.25">
      <c r="A496" s="28"/>
    </row>
    <row r="497" spans="1:1" s="31" customFormat="1" x14ac:dyDescent="0.25">
      <c r="A497" s="28"/>
    </row>
    <row r="498" spans="1:1" s="31" customFormat="1" x14ac:dyDescent="0.25">
      <c r="A498" s="28"/>
    </row>
    <row r="499" spans="1:1" s="31" customFormat="1" x14ac:dyDescent="0.25">
      <c r="A499" s="28"/>
    </row>
    <row r="500" spans="1:1" s="31" customFormat="1" x14ac:dyDescent="0.25">
      <c r="A500" s="28"/>
    </row>
    <row r="501" spans="1:1" s="31" customFormat="1" x14ac:dyDescent="0.25">
      <c r="A501" s="28"/>
    </row>
    <row r="502" spans="1:1" s="31" customFormat="1" x14ac:dyDescent="0.25">
      <c r="A502" s="28"/>
    </row>
    <row r="503" spans="1:1" s="31" customFormat="1" x14ac:dyDescent="0.25">
      <c r="A503" s="28"/>
    </row>
    <row r="504" spans="1:1" s="31" customFormat="1" x14ac:dyDescent="0.25">
      <c r="A504" s="28"/>
    </row>
    <row r="505" spans="1:1" s="31" customFormat="1" x14ac:dyDescent="0.25">
      <c r="A505" s="28"/>
    </row>
    <row r="506" spans="1:1" s="31" customFormat="1" x14ac:dyDescent="0.25">
      <c r="A506" s="28"/>
    </row>
    <row r="507" spans="1:1" s="31" customFormat="1" x14ac:dyDescent="0.25">
      <c r="A507" s="28"/>
    </row>
    <row r="508" spans="1:1" s="31" customFormat="1" x14ac:dyDescent="0.25">
      <c r="A508" s="28"/>
    </row>
    <row r="509" spans="1:1" s="31" customFormat="1" x14ac:dyDescent="0.25">
      <c r="A509" s="28"/>
    </row>
    <row r="510" spans="1:1" s="31" customFormat="1" x14ac:dyDescent="0.25">
      <c r="A510" s="28"/>
    </row>
    <row r="511" spans="1:1" s="31" customFormat="1" x14ac:dyDescent="0.25">
      <c r="A511" s="28"/>
    </row>
    <row r="512" spans="1:1" s="31" customFormat="1" x14ac:dyDescent="0.25">
      <c r="A512" s="28"/>
    </row>
    <row r="513" spans="1:1" s="31" customFormat="1" x14ac:dyDescent="0.25">
      <c r="A513" s="28"/>
    </row>
    <row r="514" spans="1:1" s="31" customFormat="1" x14ac:dyDescent="0.25">
      <c r="A514" s="28"/>
    </row>
    <row r="515" spans="1:1" s="31" customFormat="1" x14ac:dyDescent="0.25">
      <c r="A515" s="28"/>
    </row>
    <row r="516" spans="1:1" s="31" customFormat="1" x14ac:dyDescent="0.25">
      <c r="A516" s="28"/>
    </row>
    <row r="517" spans="1:1" s="31" customFormat="1" x14ac:dyDescent="0.25">
      <c r="A517" s="28"/>
    </row>
    <row r="518" spans="1:1" s="31" customFormat="1" x14ac:dyDescent="0.25">
      <c r="A518" s="28"/>
    </row>
    <row r="519" spans="1:1" s="31" customFormat="1" x14ac:dyDescent="0.25">
      <c r="A519" s="28"/>
    </row>
    <row r="520" spans="1:1" s="31" customFormat="1" x14ac:dyDescent="0.25">
      <c r="A520" s="28"/>
    </row>
    <row r="521" spans="1:1" s="31" customFormat="1" x14ac:dyDescent="0.25">
      <c r="A521" s="28"/>
    </row>
    <row r="522" spans="1:1" s="31" customFormat="1" x14ac:dyDescent="0.25">
      <c r="A522" s="28"/>
    </row>
    <row r="523" spans="1:1" s="31" customFormat="1" x14ac:dyDescent="0.25">
      <c r="A523" s="28"/>
    </row>
    <row r="524" spans="1:1" s="31" customFormat="1" x14ac:dyDescent="0.25">
      <c r="A524" s="28"/>
    </row>
    <row r="525" spans="1:1" s="31" customFormat="1" x14ac:dyDescent="0.25">
      <c r="A525" s="28"/>
    </row>
    <row r="526" spans="1:1" s="31" customFormat="1" x14ac:dyDescent="0.25">
      <c r="A526" s="28"/>
    </row>
    <row r="527" spans="1:1" s="31" customFormat="1" x14ac:dyDescent="0.25">
      <c r="A527" s="28"/>
    </row>
    <row r="528" spans="1:1" s="31" customFormat="1" x14ac:dyDescent="0.25">
      <c r="A528" s="28"/>
    </row>
    <row r="529" spans="1:1" s="31" customFormat="1" x14ac:dyDescent="0.25">
      <c r="A529" s="28"/>
    </row>
    <row r="530" spans="1:1" s="31" customFormat="1" x14ac:dyDescent="0.25">
      <c r="A530" s="28"/>
    </row>
    <row r="531" spans="1:1" s="31" customFormat="1" x14ac:dyDescent="0.25">
      <c r="A531" s="28"/>
    </row>
    <row r="532" spans="1:1" s="31" customFormat="1" x14ac:dyDescent="0.25">
      <c r="A532" s="28"/>
    </row>
    <row r="533" spans="1:1" s="31" customFormat="1" x14ac:dyDescent="0.25">
      <c r="A533" s="28"/>
    </row>
    <row r="534" spans="1:1" s="31" customFormat="1" x14ac:dyDescent="0.25">
      <c r="A534" s="28"/>
    </row>
    <row r="535" spans="1:1" s="31" customFormat="1" x14ac:dyDescent="0.25">
      <c r="A535" s="28"/>
    </row>
    <row r="536" spans="1:1" s="31" customFormat="1" x14ac:dyDescent="0.25">
      <c r="A536" s="28"/>
    </row>
    <row r="537" spans="1:1" s="31" customFormat="1" x14ac:dyDescent="0.25">
      <c r="A537" s="28"/>
    </row>
    <row r="538" spans="1:1" s="31" customFormat="1" x14ac:dyDescent="0.25">
      <c r="A538" s="28"/>
    </row>
    <row r="539" spans="1:1" s="31" customFormat="1" x14ac:dyDescent="0.25">
      <c r="A539" s="28"/>
    </row>
    <row r="540" spans="1:1" s="31" customFormat="1" x14ac:dyDescent="0.25">
      <c r="A540" s="28"/>
    </row>
    <row r="541" spans="1:1" s="31" customFormat="1" x14ac:dyDescent="0.25">
      <c r="A541" s="28"/>
    </row>
    <row r="542" spans="1:1" s="31" customFormat="1" x14ac:dyDescent="0.25">
      <c r="A542" s="28"/>
    </row>
    <row r="543" spans="1:1" s="31" customFormat="1" x14ac:dyDescent="0.25">
      <c r="A543" s="28"/>
    </row>
    <row r="544" spans="1:1" s="31" customFormat="1" x14ac:dyDescent="0.25">
      <c r="A544" s="28"/>
    </row>
    <row r="545" spans="1:1" s="31" customFormat="1" x14ac:dyDescent="0.25">
      <c r="A545" s="28"/>
    </row>
    <row r="546" spans="1:1" s="31" customFormat="1" x14ac:dyDescent="0.25">
      <c r="A546" s="28"/>
    </row>
    <row r="547" spans="1:1" s="31" customFormat="1" x14ac:dyDescent="0.25">
      <c r="A547" s="28"/>
    </row>
    <row r="548" spans="1:1" s="31" customFormat="1" x14ac:dyDescent="0.25">
      <c r="A548" s="28"/>
    </row>
    <row r="549" spans="1:1" s="31" customFormat="1" x14ac:dyDescent="0.25">
      <c r="A549" s="28"/>
    </row>
    <row r="550" spans="1:1" s="31" customFormat="1" x14ac:dyDescent="0.25">
      <c r="A550" s="28"/>
    </row>
    <row r="551" spans="1:1" s="31" customFormat="1" x14ac:dyDescent="0.25">
      <c r="A551" s="28"/>
    </row>
    <row r="552" spans="1:1" s="31" customFormat="1" x14ac:dyDescent="0.25">
      <c r="A552" s="28"/>
    </row>
    <row r="553" spans="1:1" s="31" customFormat="1" x14ac:dyDescent="0.25">
      <c r="A553" s="28"/>
    </row>
    <row r="554" spans="1:1" s="31" customFormat="1" x14ac:dyDescent="0.25">
      <c r="A554" s="28"/>
    </row>
    <row r="555" spans="1:1" s="31" customFormat="1" x14ac:dyDescent="0.25">
      <c r="A555" s="28"/>
    </row>
    <row r="556" spans="1:1" s="31" customFormat="1" x14ac:dyDescent="0.25">
      <c r="A556" s="28"/>
    </row>
    <row r="557" spans="1:1" s="31" customFormat="1" x14ac:dyDescent="0.25">
      <c r="A557" s="28"/>
    </row>
    <row r="558" spans="1:1" s="31" customFormat="1" x14ac:dyDescent="0.25">
      <c r="A558" s="28"/>
    </row>
    <row r="559" spans="1:1" s="31" customFormat="1" x14ac:dyDescent="0.25">
      <c r="A559" s="28"/>
    </row>
    <row r="560" spans="1:1" s="31" customFormat="1" x14ac:dyDescent="0.25">
      <c r="A560" s="28"/>
    </row>
    <row r="561" spans="1:1" s="31" customFormat="1" x14ac:dyDescent="0.25">
      <c r="A561" s="28"/>
    </row>
    <row r="562" spans="1:1" s="31" customFormat="1" x14ac:dyDescent="0.25">
      <c r="A562" s="28"/>
    </row>
    <row r="563" spans="1:1" s="31" customFormat="1" x14ac:dyDescent="0.25">
      <c r="A563" s="28"/>
    </row>
    <row r="564" spans="1:1" s="31" customFormat="1" x14ac:dyDescent="0.25">
      <c r="A564" s="28"/>
    </row>
    <row r="565" spans="1:1" s="31" customFormat="1" x14ac:dyDescent="0.25">
      <c r="A565" s="28"/>
    </row>
    <row r="566" spans="1:1" s="31" customFormat="1" x14ac:dyDescent="0.25">
      <c r="A566" s="28"/>
    </row>
    <row r="567" spans="1:1" s="31" customFormat="1" x14ac:dyDescent="0.25">
      <c r="A567" s="28"/>
    </row>
    <row r="568" spans="1:1" s="31" customFormat="1" x14ac:dyDescent="0.25">
      <c r="A568" s="28"/>
    </row>
    <row r="569" spans="1:1" s="31" customFormat="1" x14ac:dyDescent="0.25">
      <c r="A569" s="28"/>
    </row>
    <row r="570" spans="1:1" s="31" customFormat="1" x14ac:dyDescent="0.25">
      <c r="A570" s="28"/>
    </row>
    <row r="571" spans="1:1" s="31" customFormat="1" x14ac:dyDescent="0.25">
      <c r="A571" s="28"/>
    </row>
    <row r="572" spans="1:1" s="31" customFormat="1" x14ac:dyDescent="0.25">
      <c r="A572" s="28"/>
    </row>
    <row r="573" spans="1:1" s="31" customFormat="1" x14ac:dyDescent="0.25">
      <c r="A573" s="28"/>
    </row>
    <row r="574" spans="1:1" s="31" customFormat="1" x14ac:dyDescent="0.25">
      <c r="A574" s="28"/>
    </row>
    <row r="575" spans="1:1" s="31" customFormat="1" x14ac:dyDescent="0.25">
      <c r="A575" s="28"/>
    </row>
    <row r="576" spans="1:1" s="31" customFormat="1" x14ac:dyDescent="0.25">
      <c r="A576" s="28"/>
    </row>
    <row r="577" spans="1:1" s="31" customFormat="1" x14ac:dyDescent="0.25">
      <c r="A577" s="28"/>
    </row>
    <row r="578" spans="1:1" s="31" customFormat="1" x14ac:dyDescent="0.25">
      <c r="A578" s="28"/>
    </row>
    <row r="579" spans="1:1" s="31" customFormat="1" x14ac:dyDescent="0.25">
      <c r="A579" s="28"/>
    </row>
    <row r="580" spans="1:1" s="31" customFormat="1" x14ac:dyDescent="0.25">
      <c r="A580" s="28"/>
    </row>
    <row r="581" spans="1:1" s="31" customFormat="1" x14ac:dyDescent="0.25">
      <c r="A581" s="28"/>
    </row>
    <row r="582" spans="1:1" s="31" customFormat="1" x14ac:dyDescent="0.25">
      <c r="A582" s="28"/>
    </row>
    <row r="583" spans="1:1" s="31" customFormat="1" x14ac:dyDescent="0.25">
      <c r="A583" s="28"/>
    </row>
    <row r="584" spans="1:1" s="31" customFormat="1" x14ac:dyDescent="0.25">
      <c r="A584" s="28"/>
    </row>
    <row r="585" spans="1:1" s="31" customFormat="1" x14ac:dyDescent="0.25">
      <c r="A585" s="28"/>
    </row>
    <row r="586" spans="1:1" s="31" customFormat="1" x14ac:dyDescent="0.25">
      <c r="A586" s="28"/>
    </row>
    <row r="587" spans="1:1" s="31" customFormat="1" x14ac:dyDescent="0.25">
      <c r="A587" s="28"/>
    </row>
    <row r="588" spans="1:1" s="31" customFormat="1" x14ac:dyDescent="0.25">
      <c r="A588" s="28"/>
    </row>
    <row r="589" spans="1:1" s="31" customFormat="1" x14ac:dyDescent="0.25">
      <c r="A589" s="28"/>
    </row>
    <row r="590" spans="1:1" s="31" customFormat="1" x14ac:dyDescent="0.25">
      <c r="A590" s="28"/>
    </row>
    <row r="591" spans="1:1" s="31" customFormat="1" x14ac:dyDescent="0.25">
      <c r="A591" s="28"/>
    </row>
    <row r="592" spans="1:1" s="31" customFormat="1" x14ac:dyDescent="0.25">
      <c r="A592" s="28"/>
    </row>
    <row r="593" spans="1:1" s="31" customFormat="1" x14ac:dyDescent="0.25">
      <c r="A593" s="28"/>
    </row>
    <row r="594" spans="1:1" s="31" customFormat="1" x14ac:dyDescent="0.25">
      <c r="A594" s="28"/>
    </row>
    <row r="595" spans="1:1" s="31" customFormat="1" x14ac:dyDescent="0.25">
      <c r="A595" s="28"/>
    </row>
    <row r="596" spans="1:1" s="31" customFormat="1" x14ac:dyDescent="0.25">
      <c r="A596" s="28"/>
    </row>
    <row r="597" spans="1:1" s="31" customFormat="1" x14ac:dyDescent="0.25">
      <c r="A597" s="28"/>
    </row>
    <row r="598" spans="1:1" s="31" customFormat="1" x14ac:dyDescent="0.25">
      <c r="A598" s="28"/>
    </row>
    <row r="599" spans="1:1" s="31" customFormat="1" x14ac:dyDescent="0.25">
      <c r="A599" s="28"/>
    </row>
    <row r="600" spans="1:1" s="31" customFormat="1" x14ac:dyDescent="0.25">
      <c r="A600" s="28"/>
    </row>
    <row r="601" spans="1:1" s="31" customFormat="1" x14ac:dyDescent="0.25">
      <c r="A601" s="28"/>
    </row>
    <row r="602" spans="1:1" s="31" customFormat="1" x14ac:dyDescent="0.25">
      <c r="A602" s="28"/>
    </row>
    <row r="603" spans="1:1" s="31" customFormat="1" x14ac:dyDescent="0.25">
      <c r="A603" s="28"/>
    </row>
    <row r="604" spans="1:1" s="31" customFormat="1" x14ac:dyDescent="0.25">
      <c r="A604" s="28"/>
    </row>
    <row r="605" spans="1:1" s="31" customFormat="1" x14ac:dyDescent="0.25">
      <c r="A605" s="28"/>
    </row>
    <row r="606" spans="1:1" s="31" customFormat="1" x14ac:dyDescent="0.25">
      <c r="A606" s="28"/>
    </row>
    <row r="607" spans="1:1" s="31" customFormat="1" x14ac:dyDescent="0.25">
      <c r="A607" s="28"/>
    </row>
    <row r="608" spans="1:1" s="31" customFormat="1" x14ac:dyDescent="0.25">
      <c r="A608" s="28"/>
    </row>
    <row r="609" spans="1:1" s="31" customFormat="1" x14ac:dyDescent="0.25">
      <c r="A609" s="28"/>
    </row>
    <row r="610" spans="1:1" s="31" customFormat="1" x14ac:dyDescent="0.25">
      <c r="A610" s="28"/>
    </row>
    <row r="611" spans="1:1" s="31" customFormat="1" x14ac:dyDescent="0.25">
      <c r="A611" s="28"/>
    </row>
    <row r="612" spans="1:1" s="31" customFormat="1" x14ac:dyDescent="0.25">
      <c r="A612" s="28"/>
    </row>
    <row r="613" spans="1:1" s="31" customFormat="1" x14ac:dyDescent="0.25">
      <c r="A613" s="28"/>
    </row>
    <row r="614" spans="1:1" s="31" customFormat="1" x14ac:dyDescent="0.25">
      <c r="A614" s="28"/>
    </row>
    <row r="615" spans="1:1" s="31" customFormat="1" x14ac:dyDescent="0.25">
      <c r="A615" s="28"/>
    </row>
    <row r="616" spans="1:1" s="31" customFormat="1" x14ac:dyDescent="0.25">
      <c r="A616" s="28"/>
    </row>
    <row r="617" spans="1:1" s="31" customFormat="1" x14ac:dyDescent="0.25">
      <c r="A617" s="28"/>
    </row>
    <row r="618" spans="1:1" s="31" customFormat="1" x14ac:dyDescent="0.25">
      <c r="A618" s="28"/>
    </row>
    <row r="619" spans="1:1" s="31" customFormat="1" x14ac:dyDescent="0.25">
      <c r="A619" s="28"/>
    </row>
    <row r="620" spans="1:1" s="31" customFormat="1" x14ac:dyDescent="0.25">
      <c r="A620" s="28"/>
    </row>
    <row r="621" spans="1:1" s="31" customFormat="1" x14ac:dyDescent="0.25">
      <c r="A621" s="28"/>
    </row>
    <row r="622" spans="1:1" s="31" customFormat="1" x14ac:dyDescent="0.25">
      <c r="A622" s="28"/>
    </row>
    <row r="623" spans="1:1" s="31" customFormat="1" x14ac:dyDescent="0.25">
      <c r="A623" s="28"/>
    </row>
    <row r="624" spans="1:1" s="31" customFormat="1" x14ac:dyDescent="0.25">
      <c r="A624" s="28"/>
    </row>
    <row r="625" spans="1:1" s="31" customFormat="1" x14ac:dyDescent="0.25">
      <c r="A625" s="28"/>
    </row>
    <row r="626" spans="1:1" s="31" customFormat="1" x14ac:dyDescent="0.25">
      <c r="A626" s="28"/>
    </row>
    <row r="627" spans="1:1" s="31" customFormat="1" x14ac:dyDescent="0.25">
      <c r="A627" s="28"/>
    </row>
    <row r="628" spans="1:1" s="31" customFormat="1" x14ac:dyDescent="0.25">
      <c r="A628" s="28"/>
    </row>
    <row r="629" spans="1:1" s="31" customFormat="1" x14ac:dyDescent="0.25">
      <c r="A629" s="28"/>
    </row>
    <row r="630" spans="1:1" s="31" customFormat="1" x14ac:dyDescent="0.25">
      <c r="A630" s="28"/>
    </row>
    <row r="631" spans="1:1" s="31" customFormat="1" x14ac:dyDescent="0.25">
      <c r="A631" s="28"/>
    </row>
    <row r="632" spans="1:1" s="31" customFormat="1" x14ac:dyDescent="0.25">
      <c r="A632" s="28"/>
    </row>
    <row r="633" spans="1:1" s="31" customFormat="1" x14ac:dyDescent="0.25">
      <c r="A633" s="28"/>
    </row>
    <row r="634" spans="1:1" s="31" customFormat="1" x14ac:dyDescent="0.25">
      <c r="A634" s="28"/>
    </row>
    <row r="635" spans="1:1" s="31" customFormat="1" x14ac:dyDescent="0.25">
      <c r="A635" s="28"/>
    </row>
    <row r="636" spans="1:1" s="31" customFormat="1" x14ac:dyDescent="0.25">
      <c r="A636" s="28"/>
    </row>
    <row r="637" spans="1:1" s="31" customFormat="1" x14ac:dyDescent="0.25">
      <c r="A637" s="28"/>
    </row>
    <row r="638" spans="1:1" s="31" customFormat="1" x14ac:dyDescent="0.25">
      <c r="A638" s="28"/>
    </row>
    <row r="639" spans="1:1" s="31" customFormat="1" x14ac:dyDescent="0.25">
      <c r="A639" s="28"/>
    </row>
    <row r="640" spans="1:1" s="31" customFormat="1" x14ac:dyDescent="0.25">
      <c r="A640" s="28"/>
    </row>
    <row r="641" spans="1:1" s="31" customFormat="1" x14ac:dyDescent="0.25">
      <c r="A641" s="28"/>
    </row>
    <row r="642" spans="1:1" s="31" customFormat="1" x14ac:dyDescent="0.25">
      <c r="A642" s="28"/>
    </row>
    <row r="643" spans="1:1" s="31" customFormat="1" x14ac:dyDescent="0.25">
      <c r="A643" s="28"/>
    </row>
    <row r="644" spans="1:1" s="31" customFormat="1" x14ac:dyDescent="0.25">
      <c r="A644" s="28"/>
    </row>
    <row r="645" spans="1:1" s="31" customFormat="1" x14ac:dyDescent="0.25">
      <c r="A645" s="28"/>
    </row>
    <row r="646" spans="1:1" s="31" customFormat="1" x14ac:dyDescent="0.25">
      <c r="A646" s="28"/>
    </row>
    <row r="647" spans="1:1" s="31" customFormat="1" x14ac:dyDescent="0.25">
      <c r="A647" s="28"/>
    </row>
    <row r="648" spans="1:1" s="31" customFormat="1" x14ac:dyDescent="0.25">
      <c r="A648" s="28"/>
    </row>
    <row r="649" spans="1:1" s="31" customFormat="1" x14ac:dyDescent="0.25">
      <c r="A649" s="28"/>
    </row>
    <row r="650" spans="1:1" s="31" customFormat="1" x14ac:dyDescent="0.25">
      <c r="A650" s="28"/>
    </row>
    <row r="651" spans="1:1" s="31" customFormat="1" x14ac:dyDescent="0.25">
      <c r="A651" s="28"/>
    </row>
    <row r="652" spans="1:1" s="31" customFormat="1" x14ac:dyDescent="0.25">
      <c r="A652" s="28"/>
    </row>
    <row r="653" spans="1:1" s="31" customFormat="1" x14ac:dyDescent="0.25">
      <c r="A653" s="28"/>
    </row>
    <row r="654" spans="1:1" s="31" customFormat="1" x14ac:dyDescent="0.25">
      <c r="A654" s="28"/>
    </row>
    <row r="655" spans="1:1" s="31" customFormat="1" x14ac:dyDescent="0.25">
      <c r="A655" s="28"/>
    </row>
    <row r="656" spans="1:1" s="31" customFormat="1" x14ac:dyDescent="0.25">
      <c r="A656" s="28"/>
    </row>
    <row r="657" spans="1:1" s="31" customFormat="1" x14ac:dyDescent="0.25">
      <c r="A657" s="28"/>
    </row>
    <row r="658" spans="1:1" s="31" customFormat="1" x14ac:dyDescent="0.25">
      <c r="A658" s="28"/>
    </row>
    <row r="659" spans="1:1" s="31" customFormat="1" x14ac:dyDescent="0.25">
      <c r="A659" s="28"/>
    </row>
    <row r="660" spans="1:1" s="31" customFormat="1" x14ac:dyDescent="0.25">
      <c r="A660" s="28"/>
    </row>
    <row r="661" spans="1:1" s="31" customFormat="1" x14ac:dyDescent="0.25">
      <c r="A661" s="28"/>
    </row>
    <row r="662" spans="1:1" s="31" customFormat="1" x14ac:dyDescent="0.25">
      <c r="A662" s="28"/>
    </row>
    <row r="663" spans="1:1" s="31" customFormat="1" x14ac:dyDescent="0.25">
      <c r="A663" s="28"/>
    </row>
    <row r="664" spans="1:1" s="31" customFormat="1" x14ac:dyDescent="0.25">
      <c r="A664" s="28"/>
    </row>
    <row r="665" spans="1:1" s="31" customFormat="1" x14ac:dyDescent="0.25">
      <c r="A665" s="28"/>
    </row>
    <row r="666" spans="1:1" s="31" customFormat="1" x14ac:dyDescent="0.25">
      <c r="A666" s="28"/>
    </row>
    <row r="667" spans="1:1" s="31" customFormat="1" x14ac:dyDescent="0.25">
      <c r="A667" s="28"/>
    </row>
    <row r="668" spans="1:1" s="31" customFormat="1" x14ac:dyDescent="0.25">
      <c r="A668" s="28"/>
    </row>
    <row r="669" spans="1:1" s="31" customFormat="1" x14ac:dyDescent="0.25">
      <c r="A669" s="28"/>
    </row>
    <row r="670" spans="1:1" s="31" customFormat="1" x14ac:dyDescent="0.25">
      <c r="A670" s="28"/>
    </row>
    <row r="671" spans="1:1" s="31" customFormat="1" x14ac:dyDescent="0.25">
      <c r="A671" s="28"/>
    </row>
    <row r="672" spans="1:1" s="31" customFormat="1" x14ac:dyDescent="0.25">
      <c r="A672" s="28"/>
    </row>
    <row r="673" spans="1:1" s="31" customFormat="1" x14ac:dyDescent="0.25">
      <c r="A673" s="28"/>
    </row>
    <row r="674" spans="1:1" s="31" customFormat="1" x14ac:dyDescent="0.25">
      <c r="A674" s="28"/>
    </row>
    <row r="675" spans="1:1" s="31" customFormat="1" x14ac:dyDescent="0.25">
      <c r="A675" s="28"/>
    </row>
    <row r="676" spans="1:1" s="31" customFormat="1" x14ac:dyDescent="0.25">
      <c r="A676" s="28"/>
    </row>
    <row r="677" spans="1:1" s="31" customFormat="1" x14ac:dyDescent="0.25">
      <c r="A677" s="28"/>
    </row>
    <row r="678" spans="1:1" s="31" customFormat="1" x14ac:dyDescent="0.25">
      <c r="A678" s="28"/>
    </row>
    <row r="679" spans="1:1" s="31" customFormat="1" x14ac:dyDescent="0.25">
      <c r="A679" s="28"/>
    </row>
    <row r="680" spans="1:1" s="31" customFormat="1" x14ac:dyDescent="0.25">
      <c r="A680" s="28"/>
    </row>
    <row r="681" spans="1:1" s="31" customFormat="1" x14ac:dyDescent="0.25">
      <c r="A681" s="28"/>
    </row>
    <row r="682" spans="1:1" s="31" customFormat="1" x14ac:dyDescent="0.25">
      <c r="A682" s="28"/>
    </row>
    <row r="683" spans="1:1" s="31" customFormat="1" x14ac:dyDescent="0.25">
      <c r="A683" s="28"/>
    </row>
    <row r="684" spans="1:1" s="31" customFormat="1" x14ac:dyDescent="0.25">
      <c r="A684" s="28"/>
    </row>
    <row r="685" spans="1:1" s="31" customFormat="1" x14ac:dyDescent="0.25">
      <c r="A685" s="28"/>
    </row>
    <row r="686" spans="1:1" s="31" customFormat="1" x14ac:dyDescent="0.25">
      <c r="A686" s="28"/>
    </row>
    <row r="687" spans="1:1" s="31" customFormat="1" x14ac:dyDescent="0.25">
      <c r="A687" s="28"/>
    </row>
    <row r="688" spans="1:1" s="31" customFormat="1" x14ac:dyDescent="0.25">
      <c r="A688" s="28"/>
    </row>
    <row r="689" spans="1:1" s="31" customFormat="1" x14ac:dyDescent="0.25">
      <c r="A689" s="28"/>
    </row>
    <row r="690" spans="1:1" s="31" customFormat="1" x14ac:dyDescent="0.25">
      <c r="A690" s="28"/>
    </row>
    <row r="691" spans="1:1" s="31" customFormat="1" x14ac:dyDescent="0.25">
      <c r="A691" s="28"/>
    </row>
    <row r="692" spans="1:1" s="31" customFormat="1" x14ac:dyDescent="0.25">
      <c r="A692" s="28"/>
    </row>
    <row r="693" spans="1:1" s="31" customFormat="1" x14ac:dyDescent="0.25">
      <c r="A693" s="28"/>
    </row>
    <row r="694" spans="1:1" s="31" customFormat="1" x14ac:dyDescent="0.25">
      <c r="A694" s="28"/>
    </row>
    <row r="695" spans="1:1" s="31" customFormat="1" x14ac:dyDescent="0.25">
      <c r="A695" s="28"/>
    </row>
    <row r="696" spans="1:1" s="31" customFormat="1" x14ac:dyDescent="0.25">
      <c r="A696" s="28"/>
    </row>
    <row r="697" spans="1:1" s="31" customFormat="1" x14ac:dyDescent="0.25">
      <c r="A697" s="28"/>
    </row>
    <row r="698" spans="1:1" s="31" customFormat="1" x14ac:dyDescent="0.25">
      <c r="A698" s="28"/>
    </row>
    <row r="699" spans="1:1" s="31" customFormat="1" x14ac:dyDescent="0.25">
      <c r="A699" s="28"/>
    </row>
    <row r="700" spans="1:1" s="31" customFormat="1" x14ac:dyDescent="0.25">
      <c r="A700" s="28"/>
    </row>
    <row r="701" spans="1:1" s="31" customFormat="1" x14ac:dyDescent="0.25">
      <c r="A701" s="28"/>
    </row>
    <row r="702" spans="1:1" s="31" customFormat="1" x14ac:dyDescent="0.25">
      <c r="A702" s="28"/>
    </row>
    <row r="703" spans="1:1" s="31" customFormat="1" x14ac:dyDescent="0.25">
      <c r="A703" s="28"/>
    </row>
    <row r="704" spans="1:1" s="31" customFormat="1" x14ac:dyDescent="0.25">
      <c r="A704" s="28"/>
    </row>
    <row r="705" spans="1:1" s="31" customFormat="1" x14ac:dyDescent="0.25">
      <c r="A705" s="28"/>
    </row>
    <row r="706" spans="1:1" s="31" customFormat="1" x14ac:dyDescent="0.25">
      <c r="A706" s="28"/>
    </row>
    <row r="707" spans="1:1" s="31" customFormat="1" x14ac:dyDescent="0.25">
      <c r="A707" s="28"/>
    </row>
    <row r="708" spans="1:1" s="31" customFormat="1" x14ac:dyDescent="0.25">
      <c r="A708" s="28"/>
    </row>
    <row r="709" spans="1:1" s="31" customFormat="1" x14ac:dyDescent="0.25">
      <c r="A709" s="28"/>
    </row>
    <row r="710" spans="1:1" s="31" customFormat="1" x14ac:dyDescent="0.25">
      <c r="A710" s="28"/>
    </row>
    <row r="711" spans="1:1" s="31" customFormat="1" x14ac:dyDescent="0.25">
      <c r="A711" s="28"/>
    </row>
    <row r="712" spans="1:1" s="31" customFormat="1" x14ac:dyDescent="0.25">
      <c r="A712" s="28"/>
    </row>
    <row r="713" spans="1:1" s="31" customFormat="1" x14ac:dyDescent="0.25">
      <c r="A713" s="28"/>
    </row>
    <row r="714" spans="1:1" s="31" customFormat="1" x14ac:dyDescent="0.25">
      <c r="A714" s="28"/>
    </row>
    <row r="715" spans="1:1" s="31" customFormat="1" x14ac:dyDescent="0.25">
      <c r="A715" s="28"/>
    </row>
    <row r="716" spans="1:1" s="31" customFormat="1" x14ac:dyDescent="0.25">
      <c r="A716" s="28"/>
    </row>
    <row r="717" spans="1:1" s="31" customFormat="1" x14ac:dyDescent="0.25">
      <c r="A717" s="28"/>
    </row>
    <row r="718" spans="1:1" s="31" customFormat="1" x14ac:dyDescent="0.25">
      <c r="A718" s="28"/>
    </row>
    <row r="719" spans="1:1" s="31" customFormat="1" x14ac:dyDescent="0.25">
      <c r="A719" s="28"/>
    </row>
    <row r="720" spans="1:1" s="31" customFormat="1" x14ac:dyDescent="0.25">
      <c r="A720" s="28"/>
    </row>
    <row r="721" spans="1:1" s="31" customFormat="1" x14ac:dyDescent="0.25">
      <c r="A721" s="28"/>
    </row>
    <row r="722" spans="1:1" s="31" customFormat="1" x14ac:dyDescent="0.25">
      <c r="A722" s="28"/>
    </row>
    <row r="723" spans="1:1" s="31" customFormat="1" x14ac:dyDescent="0.25">
      <c r="A723" s="28"/>
    </row>
    <row r="724" spans="1:1" s="31" customFormat="1" x14ac:dyDescent="0.25">
      <c r="A724" s="28"/>
    </row>
    <row r="725" spans="1:1" s="31" customFormat="1" x14ac:dyDescent="0.25">
      <c r="A725" s="28"/>
    </row>
    <row r="726" spans="1:1" s="31" customFormat="1" x14ac:dyDescent="0.25">
      <c r="A726" s="28"/>
    </row>
    <row r="727" spans="1:1" s="31" customFormat="1" x14ac:dyDescent="0.25">
      <c r="A727" s="28"/>
    </row>
    <row r="728" spans="1:1" s="31" customFormat="1" x14ac:dyDescent="0.25">
      <c r="A728" s="28"/>
    </row>
    <row r="729" spans="1:1" s="31" customFormat="1" x14ac:dyDescent="0.25">
      <c r="A729" s="28"/>
    </row>
    <row r="730" spans="1:1" s="31" customFormat="1" x14ac:dyDescent="0.25">
      <c r="A730" s="28"/>
    </row>
    <row r="731" spans="1:1" s="31" customFormat="1" x14ac:dyDescent="0.25">
      <c r="A731" s="28"/>
    </row>
    <row r="732" spans="1:1" s="31" customFormat="1" x14ac:dyDescent="0.25">
      <c r="A732" s="28"/>
    </row>
    <row r="733" spans="1:1" s="31" customFormat="1" x14ac:dyDescent="0.25">
      <c r="A733" s="28"/>
    </row>
    <row r="734" spans="1:1" s="31" customFormat="1" x14ac:dyDescent="0.25">
      <c r="A734" s="28"/>
    </row>
    <row r="735" spans="1:1" s="31" customFormat="1" x14ac:dyDescent="0.25">
      <c r="A735" s="28"/>
    </row>
    <row r="736" spans="1:1" s="31" customFormat="1" x14ac:dyDescent="0.25">
      <c r="A736" s="28"/>
    </row>
    <row r="737" spans="1:1" s="31" customFormat="1" x14ac:dyDescent="0.25">
      <c r="A737" s="28"/>
    </row>
    <row r="738" spans="1:1" s="31" customFormat="1" x14ac:dyDescent="0.25">
      <c r="A738" s="28"/>
    </row>
    <row r="739" spans="1:1" s="31" customFormat="1" x14ac:dyDescent="0.25">
      <c r="A739" s="28"/>
    </row>
    <row r="740" spans="1:1" s="31" customFormat="1" x14ac:dyDescent="0.25">
      <c r="A740" s="28"/>
    </row>
    <row r="741" spans="1:1" s="31" customFormat="1" x14ac:dyDescent="0.25">
      <c r="A741" s="28"/>
    </row>
    <row r="742" spans="1:1" s="31" customFormat="1" x14ac:dyDescent="0.25">
      <c r="A742" s="28"/>
    </row>
    <row r="743" spans="1:1" s="31" customFormat="1" x14ac:dyDescent="0.25">
      <c r="A743" s="28"/>
    </row>
    <row r="744" spans="1:1" s="31" customFormat="1" x14ac:dyDescent="0.25">
      <c r="A744" s="28"/>
    </row>
    <row r="745" spans="1:1" s="31" customFormat="1" x14ac:dyDescent="0.25">
      <c r="A745" s="28"/>
    </row>
    <row r="746" spans="1:1" s="31" customFormat="1" x14ac:dyDescent="0.25">
      <c r="A746" s="28"/>
    </row>
    <row r="747" spans="1:1" s="31" customFormat="1" x14ac:dyDescent="0.25">
      <c r="A747" s="28"/>
    </row>
    <row r="748" spans="1:1" s="31" customFormat="1" x14ac:dyDescent="0.25">
      <c r="A748" s="28"/>
    </row>
    <row r="749" spans="1:1" s="31" customFormat="1" x14ac:dyDescent="0.25">
      <c r="A749" s="28"/>
    </row>
    <row r="750" spans="1:1" s="31" customFormat="1" x14ac:dyDescent="0.25">
      <c r="A750" s="28"/>
    </row>
    <row r="751" spans="1:1" s="31" customFormat="1" x14ac:dyDescent="0.25">
      <c r="A751" s="28"/>
    </row>
    <row r="752" spans="1:1" s="31" customFormat="1" x14ac:dyDescent="0.25">
      <c r="A752" s="28"/>
    </row>
    <row r="753" spans="1:1" s="31" customFormat="1" x14ac:dyDescent="0.25">
      <c r="A753" s="28"/>
    </row>
    <row r="754" spans="1:1" s="31" customFormat="1" x14ac:dyDescent="0.25">
      <c r="A754" s="28"/>
    </row>
    <row r="755" spans="1:1" s="31" customFormat="1" x14ac:dyDescent="0.25">
      <c r="A755" s="28"/>
    </row>
    <row r="756" spans="1:1" s="31" customFormat="1" x14ac:dyDescent="0.25">
      <c r="A756" s="28"/>
    </row>
    <row r="757" spans="1:1" s="31" customFormat="1" x14ac:dyDescent="0.25">
      <c r="A757" s="28"/>
    </row>
    <row r="758" spans="1:1" s="31" customFormat="1" x14ac:dyDescent="0.25">
      <c r="A758" s="28"/>
    </row>
    <row r="759" spans="1:1" s="31" customFormat="1" x14ac:dyDescent="0.25">
      <c r="A759" s="28"/>
    </row>
    <row r="760" spans="1:1" s="31" customFormat="1" x14ac:dyDescent="0.25">
      <c r="A760" s="28"/>
    </row>
    <row r="761" spans="1:1" s="31" customFormat="1" x14ac:dyDescent="0.25">
      <c r="A761" s="28"/>
    </row>
    <row r="762" spans="1:1" s="31" customFormat="1" x14ac:dyDescent="0.25">
      <c r="A762" s="28"/>
    </row>
    <row r="763" spans="1:1" s="31" customFormat="1" x14ac:dyDescent="0.25">
      <c r="A763" s="28"/>
    </row>
    <row r="764" spans="1:1" s="31" customFormat="1" x14ac:dyDescent="0.25">
      <c r="A764" s="28"/>
    </row>
    <row r="765" spans="1:1" s="31" customFormat="1" x14ac:dyDescent="0.25">
      <c r="A765" s="28"/>
    </row>
    <row r="766" spans="1:1" s="31" customFormat="1" x14ac:dyDescent="0.25">
      <c r="A766" s="28"/>
    </row>
    <row r="767" spans="1:1" s="31" customFormat="1" x14ac:dyDescent="0.25">
      <c r="A767" s="28"/>
    </row>
    <row r="768" spans="1:1" s="31" customFormat="1" x14ac:dyDescent="0.25">
      <c r="A768" s="28"/>
    </row>
    <row r="769" spans="1:1" s="31" customFormat="1" x14ac:dyDescent="0.25">
      <c r="A769" s="28"/>
    </row>
    <row r="770" spans="1:1" s="31" customFormat="1" x14ac:dyDescent="0.25">
      <c r="A770" s="28"/>
    </row>
    <row r="771" spans="1:1" s="31" customFormat="1" x14ac:dyDescent="0.25">
      <c r="A771" s="28"/>
    </row>
    <row r="772" spans="1:1" s="31" customFormat="1" x14ac:dyDescent="0.25">
      <c r="A772" s="28"/>
    </row>
    <row r="773" spans="1:1" s="31" customFormat="1" x14ac:dyDescent="0.25">
      <c r="A773" s="28"/>
    </row>
    <row r="774" spans="1:1" s="31" customFormat="1" x14ac:dyDescent="0.25">
      <c r="A774" s="28"/>
    </row>
    <row r="775" spans="1:1" s="31" customFormat="1" x14ac:dyDescent="0.25">
      <c r="A775" s="28"/>
    </row>
    <row r="776" spans="1:1" s="31" customFormat="1" x14ac:dyDescent="0.25">
      <c r="A776" s="28"/>
    </row>
    <row r="777" spans="1:1" s="31" customFormat="1" x14ac:dyDescent="0.25">
      <c r="A777" s="28"/>
    </row>
    <row r="778" spans="1:1" s="31" customFormat="1" x14ac:dyDescent="0.25">
      <c r="A778" s="28"/>
    </row>
    <row r="779" spans="1:1" s="31" customFormat="1" x14ac:dyDescent="0.25">
      <c r="A779" s="28"/>
    </row>
    <row r="780" spans="1:1" s="31" customFormat="1" x14ac:dyDescent="0.25">
      <c r="A780" s="28"/>
    </row>
    <row r="781" spans="1:1" s="31" customFormat="1" x14ac:dyDescent="0.25">
      <c r="A781" s="28"/>
    </row>
    <row r="782" spans="1:1" s="31" customFormat="1" x14ac:dyDescent="0.25">
      <c r="A782" s="28"/>
    </row>
    <row r="783" spans="1:1" s="31" customFormat="1" x14ac:dyDescent="0.25">
      <c r="A783" s="28"/>
    </row>
    <row r="784" spans="1:1" s="31" customFormat="1" x14ac:dyDescent="0.25">
      <c r="A784" s="28"/>
    </row>
    <row r="785" spans="1:1" s="31" customFormat="1" x14ac:dyDescent="0.25">
      <c r="A785" s="28"/>
    </row>
    <row r="786" spans="1:1" s="31" customFormat="1" x14ac:dyDescent="0.25">
      <c r="A786" s="28"/>
    </row>
    <row r="787" spans="1:1" s="31" customFormat="1" x14ac:dyDescent="0.25">
      <c r="A787" s="28"/>
    </row>
    <row r="788" spans="1:1" s="31" customFormat="1" x14ac:dyDescent="0.25">
      <c r="A788" s="28"/>
    </row>
    <row r="789" spans="1:1" s="31" customFormat="1" x14ac:dyDescent="0.25">
      <c r="A789" s="28"/>
    </row>
    <row r="790" spans="1:1" s="31" customFormat="1" x14ac:dyDescent="0.25">
      <c r="A790" s="28"/>
    </row>
    <row r="791" spans="1:1" s="31" customFormat="1" x14ac:dyDescent="0.25">
      <c r="A791" s="28"/>
    </row>
    <row r="792" spans="1:1" s="31" customFormat="1" x14ac:dyDescent="0.25">
      <c r="A792" s="28"/>
    </row>
    <row r="793" spans="1:1" s="31" customFormat="1" x14ac:dyDescent="0.25">
      <c r="A793" s="28"/>
    </row>
    <row r="794" spans="1:1" s="31" customFormat="1" x14ac:dyDescent="0.25">
      <c r="A794" s="28"/>
    </row>
    <row r="795" spans="1:1" s="31" customFormat="1" x14ac:dyDescent="0.25">
      <c r="A795" s="28"/>
    </row>
    <row r="796" spans="1:1" s="31" customFormat="1" x14ac:dyDescent="0.25">
      <c r="A796" s="28"/>
    </row>
    <row r="797" spans="1:1" s="31" customFormat="1" x14ac:dyDescent="0.25">
      <c r="A797" s="28"/>
    </row>
    <row r="798" spans="1:1" s="31" customFormat="1" x14ac:dyDescent="0.25">
      <c r="A798" s="28"/>
    </row>
    <row r="799" spans="1:1" s="31" customFormat="1" x14ac:dyDescent="0.25">
      <c r="A799" s="28"/>
    </row>
    <row r="800" spans="1:1" s="31" customFormat="1" x14ac:dyDescent="0.25">
      <c r="A800" s="28"/>
    </row>
    <row r="801" spans="1:1" s="31" customFormat="1" x14ac:dyDescent="0.25">
      <c r="A801" s="28"/>
    </row>
    <row r="802" spans="1:1" s="31" customFormat="1" x14ac:dyDescent="0.25">
      <c r="A802" s="28"/>
    </row>
    <row r="803" spans="1:1" s="31" customFormat="1" x14ac:dyDescent="0.25">
      <c r="A803" s="28"/>
    </row>
    <row r="804" spans="1:1" s="31" customFormat="1" x14ac:dyDescent="0.25">
      <c r="A804" s="28"/>
    </row>
    <row r="805" spans="1:1" s="31" customFormat="1" x14ac:dyDescent="0.25">
      <c r="A805" s="28"/>
    </row>
    <row r="806" spans="1:1" s="31" customFormat="1" x14ac:dyDescent="0.25">
      <c r="A806" s="28"/>
    </row>
    <row r="807" spans="1:1" s="31" customFormat="1" x14ac:dyDescent="0.25">
      <c r="A807" s="28"/>
    </row>
    <row r="808" spans="1:1" s="31" customFormat="1" x14ac:dyDescent="0.25">
      <c r="A808" s="28"/>
    </row>
    <row r="809" spans="1:1" s="31" customFormat="1" x14ac:dyDescent="0.25">
      <c r="A809" s="28"/>
    </row>
    <row r="810" spans="1:1" s="31" customFormat="1" x14ac:dyDescent="0.25">
      <c r="A810" s="28"/>
    </row>
    <row r="811" spans="1:1" s="31" customFormat="1" x14ac:dyDescent="0.25">
      <c r="A811" s="28"/>
    </row>
    <row r="812" spans="1:1" s="31" customFormat="1" x14ac:dyDescent="0.25">
      <c r="A812" s="28"/>
    </row>
    <row r="813" spans="1:1" s="31" customFormat="1" x14ac:dyDescent="0.25">
      <c r="A813" s="28"/>
    </row>
    <row r="814" spans="1:1" s="31" customFormat="1" x14ac:dyDescent="0.25">
      <c r="A814" s="28"/>
    </row>
    <row r="815" spans="1:1" s="31" customFormat="1" x14ac:dyDescent="0.25">
      <c r="A815" s="28"/>
    </row>
    <row r="816" spans="1:1" s="31" customFormat="1" x14ac:dyDescent="0.25">
      <c r="A816" s="28"/>
    </row>
    <row r="817" spans="1:1" s="31" customFormat="1" x14ac:dyDescent="0.25">
      <c r="A817" s="28"/>
    </row>
    <row r="818" spans="1:1" s="31" customFormat="1" x14ac:dyDescent="0.25">
      <c r="A818" s="28"/>
    </row>
    <row r="819" spans="1:1" s="31" customFormat="1" x14ac:dyDescent="0.25">
      <c r="A819" s="28"/>
    </row>
    <row r="820" spans="1:1" s="31" customFormat="1" x14ac:dyDescent="0.25">
      <c r="A820" s="28"/>
    </row>
    <row r="821" spans="1:1" s="31" customFormat="1" x14ac:dyDescent="0.25">
      <c r="A821" s="28"/>
    </row>
    <row r="822" spans="1:1" s="31" customFormat="1" x14ac:dyDescent="0.25">
      <c r="A822" s="28"/>
    </row>
    <row r="823" spans="1:1" s="31" customFormat="1" x14ac:dyDescent="0.25">
      <c r="A823" s="28"/>
    </row>
    <row r="824" spans="1:1" s="31" customFormat="1" x14ac:dyDescent="0.25">
      <c r="A824" s="28"/>
    </row>
    <row r="825" spans="1:1" s="31" customFormat="1" x14ac:dyDescent="0.25">
      <c r="A825" s="28"/>
    </row>
    <row r="826" spans="1:1" s="31" customFormat="1" x14ac:dyDescent="0.25">
      <c r="A826" s="28"/>
    </row>
    <row r="827" spans="1:1" s="31" customFormat="1" x14ac:dyDescent="0.25">
      <c r="A827" s="28"/>
    </row>
    <row r="828" spans="1:1" s="31" customFormat="1" x14ac:dyDescent="0.25">
      <c r="A828" s="28"/>
    </row>
    <row r="829" spans="1:1" s="31" customFormat="1" x14ac:dyDescent="0.25">
      <c r="A829" s="28"/>
    </row>
    <row r="830" spans="1:1" s="31" customFormat="1" x14ac:dyDescent="0.25">
      <c r="A830" s="28"/>
    </row>
    <row r="831" spans="1:1" s="31" customFormat="1" x14ac:dyDescent="0.25">
      <c r="A831" s="28"/>
    </row>
    <row r="832" spans="1:1" s="31" customFormat="1" x14ac:dyDescent="0.25">
      <c r="A832" s="28"/>
    </row>
    <row r="833" spans="1:1" s="31" customFormat="1" x14ac:dyDescent="0.25">
      <c r="A833" s="28"/>
    </row>
    <row r="834" spans="1:1" s="31" customFormat="1" x14ac:dyDescent="0.25">
      <c r="A834" s="28"/>
    </row>
    <row r="835" spans="1:1" s="31" customFormat="1" x14ac:dyDescent="0.25">
      <c r="A835" s="28"/>
    </row>
    <row r="836" spans="1:1" s="31" customFormat="1" x14ac:dyDescent="0.25">
      <c r="A836" s="28"/>
    </row>
    <row r="837" spans="1:1" s="31" customFormat="1" x14ac:dyDescent="0.25">
      <c r="A837" s="28"/>
    </row>
    <row r="838" spans="1:1" s="31" customFormat="1" x14ac:dyDescent="0.25">
      <c r="A838" s="28"/>
    </row>
    <row r="839" spans="1:1" s="31" customFormat="1" x14ac:dyDescent="0.25">
      <c r="A839" s="28"/>
    </row>
    <row r="840" spans="1:1" s="31" customFormat="1" x14ac:dyDescent="0.25">
      <c r="A840" s="28"/>
    </row>
    <row r="841" spans="1:1" s="31" customFormat="1" x14ac:dyDescent="0.25">
      <c r="A841" s="28"/>
    </row>
    <row r="842" spans="1:1" s="31" customFormat="1" x14ac:dyDescent="0.25">
      <c r="A842" s="28"/>
    </row>
    <row r="843" spans="1:1" s="31" customFormat="1" x14ac:dyDescent="0.25">
      <c r="A843" s="28"/>
    </row>
    <row r="844" spans="1:1" s="31" customFormat="1" x14ac:dyDescent="0.25">
      <c r="A844" s="28"/>
    </row>
    <row r="845" spans="1:1" s="31" customFormat="1" x14ac:dyDescent="0.25">
      <c r="A845" s="28"/>
    </row>
    <row r="846" spans="1:1" s="31" customFormat="1" x14ac:dyDescent="0.25">
      <c r="A846" s="28"/>
    </row>
    <row r="847" spans="1:1" s="31" customFormat="1" x14ac:dyDescent="0.25">
      <c r="A847" s="28"/>
    </row>
    <row r="848" spans="1:1" s="31" customFormat="1" x14ac:dyDescent="0.25">
      <c r="A848" s="28"/>
    </row>
    <row r="849" spans="1:1" s="31" customFormat="1" x14ac:dyDescent="0.25">
      <c r="A849" s="28"/>
    </row>
    <row r="850" spans="1:1" s="31" customFormat="1" x14ac:dyDescent="0.25">
      <c r="A850" s="28"/>
    </row>
    <row r="851" spans="1:1" s="31" customFormat="1" x14ac:dyDescent="0.25">
      <c r="A851" s="28"/>
    </row>
    <row r="852" spans="1:1" s="31" customFormat="1" x14ac:dyDescent="0.25">
      <c r="A852" s="28"/>
    </row>
    <row r="853" spans="1:1" s="31" customFormat="1" x14ac:dyDescent="0.25">
      <c r="A853" s="28"/>
    </row>
    <row r="854" spans="1:1" s="31" customFormat="1" x14ac:dyDescent="0.25">
      <c r="A854" s="28"/>
    </row>
    <row r="855" spans="1:1" s="31" customFormat="1" x14ac:dyDescent="0.25">
      <c r="A855" s="28"/>
    </row>
    <row r="856" spans="1:1" s="31" customFormat="1" x14ac:dyDescent="0.25">
      <c r="A856" s="28"/>
    </row>
    <row r="857" spans="1:1" s="31" customFormat="1" x14ac:dyDescent="0.25">
      <c r="A857" s="28"/>
    </row>
    <row r="858" spans="1:1" s="31" customFormat="1" x14ac:dyDescent="0.25">
      <c r="A858" s="28"/>
    </row>
    <row r="859" spans="1:1" s="31" customFormat="1" x14ac:dyDescent="0.25">
      <c r="A859" s="28"/>
    </row>
    <row r="860" spans="1:1" s="31" customFormat="1" x14ac:dyDescent="0.25">
      <c r="A860" s="28"/>
    </row>
    <row r="861" spans="1:1" s="31" customFormat="1" x14ac:dyDescent="0.25">
      <c r="A861" s="28"/>
    </row>
    <row r="862" spans="1:1" s="31" customFormat="1" x14ac:dyDescent="0.25">
      <c r="A862" s="28"/>
    </row>
    <row r="863" spans="1:1" s="31" customFormat="1" x14ac:dyDescent="0.25">
      <c r="A863" s="28"/>
    </row>
    <row r="864" spans="1:1" s="31" customFormat="1" x14ac:dyDescent="0.25">
      <c r="A864" s="28"/>
    </row>
    <row r="865" spans="1:1" s="31" customFormat="1" x14ac:dyDescent="0.25">
      <c r="A865" s="28"/>
    </row>
    <row r="866" spans="1:1" s="31" customFormat="1" x14ac:dyDescent="0.25">
      <c r="A866" s="28"/>
    </row>
    <row r="867" spans="1:1" s="31" customFormat="1" x14ac:dyDescent="0.25">
      <c r="A867" s="28"/>
    </row>
    <row r="868" spans="1:1" s="31" customFormat="1" x14ac:dyDescent="0.25">
      <c r="A868" s="28"/>
    </row>
    <row r="869" spans="1:1" s="31" customFormat="1" x14ac:dyDescent="0.25">
      <c r="A869" s="28"/>
    </row>
    <row r="870" spans="1:1" s="31" customFormat="1" x14ac:dyDescent="0.25">
      <c r="A870" s="28"/>
    </row>
    <row r="871" spans="1:1" s="31" customFormat="1" x14ac:dyDescent="0.25">
      <c r="A871" s="28"/>
    </row>
    <row r="872" spans="1:1" s="31" customFormat="1" x14ac:dyDescent="0.25">
      <c r="A872" s="28"/>
    </row>
    <row r="873" spans="1:1" s="31" customFormat="1" x14ac:dyDescent="0.25">
      <c r="A873" s="28"/>
    </row>
    <row r="874" spans="1:1" s="31" customFormat="1" x14ac:dyDescent="0.25">
      <c r="A874" s="28"/>
    </row>
    <row r="875" spans="1:1" s="31" customFormat="1" x14ac:dyDescent="0.25">
      <c r="A875" s="28"/>
    </row>
    <row r="876" spans="1:1" s="31" customFormat="1" x14ac:dyDescent="0.25">
      <c r="A876" s="28"/>
    </row>
    <row r="877" spans="1:1" s="31" customFormat="1" x14ac:dyDescent="0.25">
      <c r="A877" s="28"/>
    </row>
    <row r="878" spans="1:1" s="31" customFormat="1" x14ac:dyDescent="0.25">
      <c r="A878" s="28"/>
    </row>
    <row r="879" spans="1:1" s="31" customFormat="1" x14ac:dyDescent="0.25">
      <c r="A879" s="28"/>
    </row>
    <row r="880" spans="1:1" s="31" customFormat="1" x14ac:dyDescent="0.25">
      <c r="A880" s="28"/>
    </row>
    <row r="881" spans="1:1" s="31" customFormat="1" x14ac:dyDescent="0.25">
      <c r="A881" s="28"/>
    </row>
    <row r="882" spans="1:1" s="31" customFormat="1" x14ac:dyDescent="0.25">
      <c r="A882" s="28"/>
    </row>
    <row r="883" spans="1:1" s="31" customFormat="1" x14ac:dyDescent="0.25">
      <c r="A883" s="28"/>
    </row>
    <row r="884" spans="1:1" s="31" customFormat="1" x14ac:dyDescent="0.25">
      <c r="A884" s="28"/>
    </row>
    <row r="885" spans="1:1" s="31" customFormat="1" x14ac:dyDescent="0.25">
      <c r="A885" s="28"/>
    </row>
    <row r="886" spans="1:1" s="31" customFormat="1" x14ac:dyDescent="0.25">
      <c r="A886" s="28"/>
    </row>
    <row r="887" spans="1:1" s="31" customFormat="1" x14ac:dyDescent="0.25">
      <c r="A887" s="28"/>
    </row>
    <row r="888" spans="1:1" s="31" customFormat="1" x14ac:dyDescent="0.25">
      <c r="A888" s="28"/>
    </row>
    <row r="889" spans="1:1" s="31" customFormat="1" x14ac:dyDescent="0.25">
      <c r="A889" s="28"/>
    </row>
    <row r="890" spans="1:1" s="31" customFormat="1" x14ac:dyDescent="0.25">
      <c r="A890" s="28"/>
    </row>
    <row r="891" spans="1:1" s="31" customFormat="1" x14ac:dyDescent="0.25">
      <c r="A891" s="28"/>
    </row>
    <row r="892" spans="1:1" s="31" customFormat="1" x14ac:dyDescent="0.25">
      <c r="A892" s="28"/>
    </row>
    <row r="893" spans="1:1" s="31" customFormat="1" x14ac:dyDescent="0.25">
      <c r="A893" s="28"/>
    </row>
    <row r="894" spans="1:1" s="31" customFormat="1" x14ac:dyDescent="0.25">
      <c r="A894" s="28"/>
    </row>
    <row r="895" spans="1:1" s="31" customFormat="1" x14ac:dyDescent="0.25">
      <c r="A895" s="28"/>
    </row>
    <row r="896" spans="1:1" s="31" customFormat="1" x14ac:dyDescent="0.25">
      <c r="A896" s="28"/>
    </row>
    <row r="897" spans="1:1" s="31" customFormat="1" x14ac:dyDescent="0.25">
      <c r="A897" s="28"/>
    </row>
    <row r="898" spans="1:1" s="31" customFormat="1" x14ac:dyDescent="0.25">
      <c r="A898" s="28"/>
    </row>
    <row r="899" spans="1:1" s="31" customFormat="1" x14ac:dyDescent="0.25">
      <c r="A899" s="28"/>
    </row>
    <row r="900" spans="1:1" s="31" customFormat="1" x14ac:dyDescent="0.25">
      <c r="A900" s="28"/>
    </row>
    <row r="901" spans="1:1" s="31" customFormat="1" x14ac:dyDescent="0.25">
      <c r="A901" s="28"/>
    </row>
    <row r="902" spans="1:1" s="31" customFormat="1" x14ac:dyDescent="0.25">
      <c r="A902" s="28"/>
    </row>
    <row r="903" spans="1:1" s="31" customFormat="1" x14ac:dyDescent="0.25">
      <c r="A903" s="28"/>
    </row>
    <row r="904" spans="1:1" s="31" customFormat="1" x14ac:dyDescent="0.25">
      <c r="A904" s="28"/>
    </row>
    <row r="905" spans="1:1" s="31" customFormat="1" x14ac:dyDescent="0.25">
      <c r="A905" s="28"/>
    </row>
    <row r="906" spans="1:1" s="31" customFormat="1" x14ac:dyDescent="0.25">
      <c r="A906" s="28"/>
    </row>
    <row r="907" spans="1:1" s="31" customFormat="1" x14ac:dyDescent="0.25">
      <c r="A907" s="28"/>
    </row>
    <row r="908" spans="1:1" s="31" customFormat="1" x14ac:dyDescent="0.25">
      <c r="A908" s="28"/>
    </row>
    <row r="909" spans="1:1" s="31" customFormat="1" x14ac:dyDescent="0.25">
      <c r="A909" s="28"/>
    </row>
    <row r="910" spans="1:1" s="31" customFormat="1" x14ac:dyDescent="0.25">
      <c r="A910" s="28"/>
    </row>
    <row r="911" spans="1:1" s="31" customFormat="1" x14ac:dyDescent="0.25">
      <c r="A911" s="28"/>
    </row>
    <row r="912" spans="1:1" s="31" customFormat="1" x14ac:dyDescent="0.25">
      <c r="A912" s="28"/>
    </row>
    <row r="913" spans="1:1" s="31" customFormat="1" x14ac:dyDescent="0.25">
      <c r="A913" s="28"/>
    </row>
    <row r="914" spans="1:1" s="31" customFormat="1" x14ac:dyDescent="0.25">
      <c r="A914" s="28"/>
    </row>
    <row r="915" spans="1:1" s="31" customFormat="1" x14ac:dyDescent="0.25">
      <c r="A915" s="28"/>
    </row>
    <row r="916" spans="1:1" s="31" customFormat="1" x14ac:dyDescent="0.25">
      <c r="A916" s="28"/>
    </row>
    <row r="917" spans="1:1" s="31" customFormat="1" x14ac:dyDescent="0.25">
      <c r="A917" s="28"/>
    </row>
    <row r="918" spans="1:1" s="31" customFormat="1" x14ac:dyDescent="0.25">
      <c r="A918" s="28"/>
    </row>
    <row r="919" spans="1:1" s="31" customFormat="1" x14ac:dyDescent="0.25">
      <c r="A919" s="28"/>
    </row>
    <row r="920" spans="1:1" s="31" customFormat="1" x14ac:dyDescent="0.25">
      <c r="A920" s="28"/>
    </row>
    <row r="921" spans="1:1" s="31" customFormat="1" x14ac:dyDescent="0.25">
      <c r="A921" s="28"/>
    </row>
    <row r="922" spans="1:1" s="31" customFormat="1" x14ac:dyDescent="0.25">
      <c r="A922" s="28"/>
    </row>
    <row r="923" spans="1:1" s="31" customFormat="1" x14ac:dyDescent="0.25">
      <c r="A923" s="28"/>
    </row>
    <row r="924" spans="1:1" s="31" customFormat="1" x14ac:dyDescent="0.25">
      <c r="A924" s="28"/>
    </row>
    <row r="925" spans="1:1" s="31" customFormat="1" x14ac:dyDescent="0.25">
      <c r="A925" s="28"/>
    </row>
    <row r="926" spans="1:1" s="31" customFormat="1" x14ac:dyDescent="0.25">
      <c r="A926" s="28"/>
    </row>
    <row r="927" spans="1:1" s="31" customFormat="1" x14ac:dyDescent="0.25">
      <c r="A927" s="28"/>
    </row>
    <row r="928" spans="1:1" s="31" customFormat="1" x14ac:dyDescent="0.25">
      <c r="A928" s="28"/>
    </row>
    <row r="929" spans="1:1" s="31" customFormat="1" x14ac:dyDescent="0.25">
      <c r="A929" s="28"/>
    </row>
    <row r="930" spans="1:1" s="31" customFormat="1" x14ac:dyDescent="0.25">
      <c r="A930" s="28"/>
    </row>
    <row r="931" spans="1:1" s="31" customFormat="1" x14ac:dyDescent="0.25">
      <c r="A931" s="28"/>
    </row>
    <row r="932" spans="1:1" s="31" customFormat="1" x14ac:dyDescent="0.25">
      <c r="A932" s="28"/>
    </row>
    <row r="933" spans="1:1" s="31" customFormat="1" x14ac:dyDescent="0.25">
      <c r="A933" s="28"/>
    </row>
    <row r="934" spans="1:1" s="31" customFormat="1" x14ac:dyDescent="0.25">
      <c r="A934" s="28"/>
    </row>
    <row r="935" spans="1:1" s="31" customFormat="1" x14ac:dyDescent="0.25">
      <c r="A935" s="28"/>
    </row>
    <row r="936" spans="1:1" s="31" customFormat="1" x14ac:dyDescent="0.25">
      <c r="A936" s="28"/>
    </row>
    <row r="937" spans="1:1" s="31" customFormat="1" x14ac:dyDescent="0.25">
      <c r="A937" s="28"/>
    </row>
    <row r="938" spans="1:1" s="31" customFormat="1" x14ac:dyDescent="0.25">
      <c r="A938" s="28"/>
    </row>
    <row r="939" spans="1:1" s="31" customFormat="1" x14ac:dyDescent="0.25">
      <c r="A939" s="28"/>
    </row>
    <row r="940" spans="1:1" s="31" customFormat="1" x14ac:dyDescent="0.25">
      <c r="A940" s="28"/>
    </row>
    <row r="941" spans="1:1" s="31" customFormat="1" x14ac:dyDescent="0.25">
      <c r="A941" s="28"/>
    </row>
    <row r="942" spans="1:1" s="31" customFormat="1" x14ac:dyDescent="0.25">
      <c r="A942" s="28"/>
    </row>
    <row r="943" spans="1:1" s="31" customFormat="1" x14ac:dyDescent="0.25">
      <c r="A943" s="28"/>
    </row>
    <row r="944" spans="1:1" s="31" customFormat="1" x14ac:dyDescent="0.25">
      <c r="A944" s="28"/>
    </row>
    <row r="945" spans="1:1" s="31" customFormat="1" x14ac:dyDescent="0.25">
      <c r="A945" s="28"/>
    </row>
    <row r="946" spans="1:1" s="31" customFormat="1" x14ac:dyDescent="0.25">
      <c r="A946" s="28"/>
    </row>
    <row r="947" spans="1:1" s="31" customFormat="1" x14ac:dyDescent="0.25">
      <c r="A947" s="28"/>
    </row>
    <row r="948" spans="1:1" s="31" customFormat="1" x14ac:dyDescent="0.25">
      <c r="A948" s="28"/>
    </row>
    <row r="949" spans="1:1" s="31" customFormat="1" x14ac:dyDescent="0.25">
      <c r="A949" s="28"/>
    </row>
    <row r="950" spans="1:1" s="31" customFormat="1" x14ac:dyDescent="0.25">
      <c r="A950" s="28"/>
    </row>
    <row r="951" spans="1:1" s="31" customFormat="1" x14ac:dyDescent="0.25">
      <c r="A951" s="28"/>
    </row>
    <row r="952" spans="1:1" s="31" customFormat="1" x14ac:dyDescent="0.25">
      <c r="A952" s="28"/>
    </row>
    <row r="953" spans="1:1" s="31" customFormat="1" x14ac:dyDescent="0.25">
      <c r="A953" s="28"/>
    </row>
    <row r="954" spans="1:1" s="31" customFormat="1" x14ac:dyDescent="0.25">
      <c r="A954" s="28"/>
    </row>
    <row r="955" spans="1:1" s="31" customFormat="1" x14ac:dyDescent="0.25">
      <c r="A955" s="28"/>
    </row>
    <row r="956" spans="1:1" s="31" customFormat="1" x14ac:dyDescent="0.25">
      <c r="A956" s="28"/>
    </row>
    <row r="957" spans="1:1" s="31" customFormat="1" x14ac:dyDescent="0.25">
      <c r="A957" s="28"/>
    </row>
    <row r="958" spans="1:1" s="31" customFormat="1" x14ac:dyDescent="0.25">
      <c r="A958" s="28"/>
    </row>
    <row r="959" spans="1:1" s="31" customFormat="1" x14ac:dyDescent="0.25">
      <c r="A959" s="28"/>
    </row>
    <row r="960" spans="1:1" s="31" customFormat="1" x14ac:dyDescent="0.25">
      <c r="A960" s="28"/>
    </row>
    <row r="961" spans="1:1" s="31" customFormat="1" x14ac:dyDescent="0.25">
      <c r="A961" s="28"/>
    </row>
    <row r="962" spans="1:1" s="31" customFormat="1" x14ac:dyDescent="0.25">
      <c r="A962" s="28"/>
    </row>
    <row r="963" spans="1:1" s="31" customFormat="1" x14ac:dyDescent="0.25">
      <c r="A963" s="28"/>
    </row>
    <row r="964" spans="1:1" s="31" customFormat="1" x14ac:dyDescent="0.25">
      <c r="A964" s="28"/>
    </row>
    <row r="965" spans="1:1" s="31" customFormat="1" x14ac:dyDescent="0.25">
      <c r="A965" s="28"/>
    </row>
    <row r="966" spans="1:1" s="31" customFormat="1" x14ac:dyDescent="0.25">
      <c r="A966" s="28"/>
    </row>
    <row r="967" spans="1:1" s="31" customFormat="1" x14ac:dyDescent="0.25">
      <c r="A967" s="28"/>
    </row>
    <row r="968" spans="1:1" s="31" customFormat="1" x14ac:dyDescent="0.25">
      <c r="A968" s="28"/>
    </row>
    <row r="969" spans="1:1" s="31" customFormat="1" x14ac:dyDescent="0.25">
      <c r="A969" s="28"/>
    </row>
    <row r="970" spans="1:1" s="31" customFormat="1" x14ac:dyDescent="0.25">
      <c r="A970" s="28"/>
    </row>
    <row r="971" spans="1:1" s="31" customFormat="1" x14ac:dyDescent="0.25">
      <c r="A971" s="28"/>
    </row>
    <row r="972" spans="1:1" s="31" customFormat="1" x14ac:dyDescent="0.25">
      <c r="A972" s="28"/>
    </row>
    <row r="973" spans="1:1" s="31" customFormat="1" x14ac:dyDescent="0.25">
      <c r="A973" s="28"/>
    </row>
    <row r="974" spans="1:1" s="31" customFormat="1" x14ac:dyDescent="0.25">
      <c r="A974" s="28"/>
    </row>
    <row r="975" spans="1:1" s="31" customFormat="1" x14ac:dyDescent="0.25">
      <c r="A975" s="28"/>
    </row>
    <row r="976" spans="1:1" s="31" customFormat="1" x14ac:dyDescent="0.25">
      <c r="A976" s="28"/>
    </row>
    <row r="977" spans="1:1" s="31" customFormat="1" x14ac:dyDescent="0.25">
      <c r="A977" s="28"/>
    </row>
    <row r="978" spans="1:1" s="31" customFormat="1" x14ac:dyDescent="0.25">
      <c r="A978" s="28"/>
    </row>
    <row r="979" spans="1:1" s="31" customFormat="1" x14ac:dyDescent="0.25">
      <c r="A979" s="28"/>
    </row>
    <row r="980" spans="1:1" s="31" customFormat="1" x14ac:dyDescent="0.25">
      <c r="A980" s="28"/>
    </row>
    <row r="981" spans="1:1" s="31" customFormat="1" x14ac:dyDescent="0.25">
      <c r="A981" s="28"/>
    </row>
    <row r="982" spans="1:1" s="31" customFormat="1" x14ac:dyDescent="0.25">
      <c r="A982" s="28"/>
    </row>
    <row r="983" spans="1:1" s="31" customFormat="1" x14ac:dyDescent="0.25">
      <c r="A983" s="28"/>
    </row>
    <row r="984" spans="1:1" s="31" customFormat="1" x14ac:dyDescent="0.25">
      <c r="A984" s="28"/>
    </row>
    <row r="985" spans="1:1" s="31" customFormat="1" x14ac:dyDescent="0.25">
      <c r="A985" s="28"/>
    </row>
    <row r="986" spans="1:1" s="31" customFormat="1" x14ac:dyDescent="0.25">
      <c r="A986" s="28"/>
    </row>
    <row r="987" spans="1:1" s="31" customFormat="1" x14ac:dyDescent="0.25">
      <c r="A987" s="28"/>
    </row>
    <row r="988" spans="1:1" s="31" customFormat="1" x14ac:dyDescent="0.25">
      <c r="A988" s="28"/>
    </row>
    <row r="989" spans="1:1" s="31" customFormat="1" x14ac:dyDescent="0.25">
      <c r="A989" s="28"/>
    </row>
    <row r="990" spans="1:1" s="31" customFormat="1" x14ac:dyDescent="0.25">
      <c r="A990" s="28"/>
    </row>
    <row r="991" spans="1:1" s="31" customFormat="1" x14ac:dyDescent="0.25">
      <c r="A991" s="28"/>
    </row>
    <row r="992" spans="1:1" s="31" customFormat="1" x14ac:dyDescent="0.25">
      <c r="A992" s="28"/>
    </row>
    <row r="993" spans="1:1" s="31" customFormat="1" x14ac:dyDescent="0.25">
      <c r="A993" s="28"/>
    </row>
    <row r="994" spans="1:1" s="31" customFormat="1" x14ac:dyDescent="0.25">
      <c r="A994" s="28"/>
    </row>
    <row r="995" spans="1:1" s="31" customFormat="1" x14ac:dyDescent="0.25">
      <c r="A995" s="28"/>
    </row>
    <row r="996" spans="1:1" s="31" customFormat="1" x14ac:dyDescent="0.25">
      <c r="A996" s="28"/>
    </row>
    <row r="997" spans="1:1" s="31" customFormat="1" x14ac:dyDescent="0.25">
      <c r="A997" s="28"/>
    </row>
    <row r="998" spans="1:1" s="31" customFormat="1" x14ac:dyDescent="0.25">
      <c r="A998" s="28"/>
    </row>
    <row r="999" spans="1:1" s="31" customFormat="1" x14ac:dyDescent="0.25">
      <c r="A999" s="28"/>
    </row>
    <row r="1000" spans="1:1" s="31" customFormat="1" x14ac:dyDescent="0.25">
      <c r="A1000" s="28"/>
    </row>
    <row r="1001" spans="1:1" s="31" customFormat="1" x14ac:dyDescent="0.25">
      <c r="A1001" s="28"/>
    </row>
    <row r="1002" spans="1:1" s="31" customFormat="1" x14ac:dyDescent="0.25">
      <c r="A1002" s="28"/>
    </row>
    <row r="1003" spans="1:1" s="31" customFormat="1" x14ac:dyDescent="0.25">
      <c r="A1003" s="28"/>
    </row>
    <row r="1004" spans="1:1" s="31" customFormat="1" x14ac:dyDescent="0.25">
      <c r="A1004" s="28"/>
    </row>
    <row r="1005" spans="1:1" s="31" customFormat="1" x14ac:dyDescent="0.25">
      <c r="A1005" s="28"/>
    </row>
    <row r="1006" spans="1:1" s="31" customFormat="1" x14ac:dyDescent="0.25">
      <c r="A1006" s="28"/>
    </row>
    <row r="1007" spans="1:1" s="31" customFormat="1" x14ac:dyDescent="0.25">
      <c r="A1007" s="28"/>
    </row>
    <row r="1008" spans="1:1" s="31" customFormat="1" x14ac:dyDescent="0.25">
      <c r="A1008" s="28"/>
    </row>
    <row r="1009" spans="1:1" s="31" customFormat="1" x14ac:dyDescent="0.25">
      <c r="A1009" s="28"/>
    </row>
    <row r="1010" spans="1:1" s="31" customFormat="1" x14ac:dyDescent="0.25">
      <c r="A1010" s="28"/>
    </row>
    <row r="1011" spans="1:1" s="31" customFormat="1" x14ac:dyDescent="0.25">
      <c r="A1011" s="28"/>
    </row>
    <row r="1012" spans="1:1" s="31" customFormat="1" x14ac:dyDescent="0.25">
      <c r="A1012" s="28"/>
    </row>
    <row r="1013" spans="1:1" s="31" customFormat="1" x14ac:dyDescent="0.25">
      <c r="A1013" s="28"/>
    </row>
    <row r="1014" spans="1:1" s="31" customFormat="1" x14ac:dyDescent="0.25">
      <c r="A1014" s="28"/>
    </row>
    <row r="1015" spans="1:1" s="31" customFormat="1" x14ac:dyDescent="0.25">
      <c r="A1015" s="28"/>
    </row>
    <row r="1016" spans="1:1" s="31" customFormat="1" x14ac:dyDescent="0.25">
      <c r="A1016" s="28"/>
    </row>
    <row r="1017" spans="1:1" s="31" customFormat="1" x14ac:dyDescent="0.25">
      <c r="A1017" s="28"/>
    </row>
    <row r="1018" spans="1:1" s="31" customFormat="1" x14ac:dyDescent="0.25">
      <c r="A1018" s="28"/>
    </row>
    <row r="1019" spans="1:1" s="31" customFormat="1" x14ac:dyDescent="0.25">
      <c r="A1019" s="28"/>
    </row>
    <row r="1020" spans="1:1" s="31" customFormat="1" x14ac:dyDescent="0.25">
      <c r="A1020" s="28"/>
    </row>
    <row r="1021" spans="1:1" s="31" customFormat="1" x14ac:dyDescent="0.25">
      <c r="A1021" s="28"/>
    </row>
    <row r="1022" spans="1:1" s="31" customFormat="1" x14ac:dyDescent="0.25">
      <c r="A1022" s="28"/>
    </row>
    <row r="1023" spans="1:1" s="31" customFormat="1" x14ac:dyDescent="0.25">
      <c r="A1023" s="28"/>
    </row>
    <row r="1024" spans="1:1" s="31" customFormat="1" x14ac:dyDescent="0.25">
      <c r="A1024" s="28"/>
    </row>
    <row r="1025" spans="1:1" s="31" customFormat="1" x14ac:dyDescent="0.25">
      <c r="A1025" s="28"/>
    </row>
    <row r="1026" spans="1:1" s="31" customFormat="1" x14ac:dyDescent="0.25">
      <c r="A1026" s="28"/>
    </row>
    <row r="1027" spans="1:1" s="31" customFormat="1" x14ac:dyDescent="0.25">
      <c r="A1027" s="28"/>
    </row>
    <row r="1028" spans="1:1" s="31" customFormat="1" x14ac:dyDescent="0.25">
      <c r="A1028" s="28"/>
    </row>
    <row r="1029" spans="1:1" s="31" customFormat="1" x14ac:dyDescent="0.25">
      <c r="A1029" s="28"/>
    </row>
    <row r="1030" spans="1:1" s="31" customFormat="1" x14ac:dyDescent="0.25">
      <c r="A1030" s="28"/>
    </row>
    <row r="1031" spans="1:1" s="31" customFormat="1" x14ac:dyDescent="0.25">
      <c r="A1031" s="28"/>
    </row>
    <row r="1032" spans="1:1" s="31" customFormat="1" x14ac:dyDescent="0.25">
      <c r="A1032" s="28"/>
    </row>
    <row r="1033" spans="1:1" s="31" customFormat="1" x14ac:dyDescent="0.25">
      <c r="A1033" s="28"/>
    </row>
    <row r="1034" spans="1:1" s="31" customFormat="1" x14ac:dyDescent="0.25">
      <c r="A1034" s="28"/>
    </row>
    <row r="1035" spans="1:1" s="31" customFormat="1" x14ac:dyDescent="0.25">
      <c r="A1035" s="28"/>
    </row>
    <row r="1036" spans="1:1" s="31" customFormat="1" x14ac:dyDescent="0.25">
      <c r="A1036" s="28"/>
    </row>
  </sheetData>
  <printOptions horizontalCentered="1"/>
  <pageMargins left="0.39374999999999999" right="0.39374999999999999" top="0.53125" bottom="0.39374999999999999" header="0.511811023622047" footer="0.511811023622047"/>
  <pageSetup paperSize="8" scale="2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1"/>
  <sheetViews>
    <sheetView showZeros="0" topLeftCell="A22" zoomScale="40" zoomScaleNormal="40" workbookViewId="0">
      <selection activeCell="A22" sqref="A22"/>
    </sheetView>
  </sheetViews>
  <sheetFormatPr defaultColWidth="9.140625" defaultRowHeight="12.75" x14ac:dyDescent="0.2"/>
  <cols>
    <col min="8" max="8" width="6.140625" customWidth="1"/>
    <col min="9" max="12" width="9.140625" hidden="1"/>
    <col min="13" max="13" width="7.28515625" hidden="1" customWidth="1"/>
    <col min="14" max="15" width="9.140625" hidden="1"/>
    <col min="16" max="16" width="38.7109375" customWidth="1"/>
  </cols>
  <sheetData>
    <row r="1" spans="1:27" ht="21" customHeight="1" x14ac:dyDescent="0.2">
      <c r="A1" s="1" t="s">
        <v>2</v>
      </c>
      <c r="B1" s="66" t="s">
        <v>3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27" ht="20.25" customHeight="1" x14ac:dyDescent="0.2">
      <c r="A2" s="2" t="s">
        <v>4</v>
      </c>
      <c r="B2" s="77" t="s">
        <v>168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27" ht="21" customHeight="1" x14ac:dyDescent="0.2">
      <c r="A3" s="3" t="s">
        <v>5</v>
      </c>
      <c r="B3" s="59" t="s">
        <v>169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t="s">
        <v>170</v>
      </c>
      <c r="Q3" t="s">
        <v>158</v>
      </c>
    </row>
    <row r="4" spans="1:27" ht="21" customHeight="1" x14ac:dyDescent="0.2">
      <c r="A4" s="4" t="s">
        <v>6</v>
      </c>
      <c r="B4" s="57" t="s">
        <v>171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t="s">
        <v>172</v>
      </c>
    </row>
    <row r="5" spans="1:27" ht="21" customHeight="1" x14ac:dyDescent="0.2">
      <c r="A5" s="4" t="s">
        <v>7</v>
      </c>
      <c r="B5" s="57" t="s">
        <v>173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t="s">
        <v>174</v>
      </c>
    </row>
    <row r="6" spans="1:27" ht="21" customHeight="1" x14ac:dyDescent="0.2">
      <c r="A6" s="4" t="s">
        <v>175</v>
      </c>
      <c r="B6" s="57" t="s">
        <v>176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t="s">
        <v>177</v>
      </c>
    </row>
    <row r="7" spans="1:27" ht="20.25" customHeight="1" x14ac:dyDescent="0.2">
      <c r="A7" s="5" t="s">
        <v>8</v>
      </c>
      <c r="B7" s="76" t="s">
        <v>9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t="s">
        <v>15</v>
      </c>
      <c r="Q7" t="s">
        <v>178</v>
      </c>
    </row>
    <row r="8" spans="1:27" ht="21" customHeight="1" x14ac:dyDescent="0.2">
      <c r="A8" s="4" t="s">
        <v>11</v>
      </c>
      <c r="B8" s="57" t="s">
        <v>14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</row>
    <row r="9" spans="1:27" ht="21" customHeight="1" x14ac:dyDescent="0.2">
      <c r="A9" s="4" t="s">
        <v>13</v>
      </c>
      <c r="B9" s="57" t="s">
        <v>12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27" ht="20.25" customHeight="1" x14ac:dyDescent="0.2">
      <c r="A10" s="6" t="s">
        <v>16</v>
      </c>
      <c r="B10" s="73" t="s">
        <v>17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t="s">
        <v>179</v>
      </c>
    </row>
    <row r="11" spans="1:27" ht="20.25" customHeight="1" x14ac:dyDescent="0.2">
      <c r="A11" s="2" t="s">
        <v>18</v>
      </c>
      <c r="B11" s="75" t="s">
        <v>19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t="s">
        <v>153</v>
      </c>
    </row>
    <row r="12" spans="1:27" ht="21" customHeight="1" x14ac:dyDescent="0.2">
      <c r="A12" s="3" t="s">
        <v>159</v>
      </c>
      <c r="B12" s="48" t="s">
        <v>180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t="s">
        <v>21</v>
      </c>
    </row>
    <row r="13" spans="1:27" ht="21" customHeight="1" x14ac:dyDescent="0.2">
      <c r="A13" s="7" t="s">
        <v>160</v>
      </c>
      <c r="B13" s="48" t="s">
        <v>20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t="s">
        <v>24</v>
      </c>
    </row>
    <row r="14" spans="1:27" ht="21" customHeight="1" x14ac:dyDescent="0.2">
      <c r="A14" s="8" t="s">
        <v>22</v>
      </c>
      <c r="B14" s="57" t="s">
        <v>181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t="s">
        <v>27</v>
      </c>
    </row>
    <row r="15" spans="1:27" ht="21" customHeight="1" x14ac:dyDescent="0.2">
      <c r="A15" s="9" t="s">
        <v>182</v>
      </c>
      <c r="B15" s="48" t="s">
        <v>183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t="s">
        <v>29</v>
      </c>
    </row>
    <row r="16" spans="1:27" ht="20.25" customHeight="1" x14ac:dyDescent="0.2">
      <c r="A16" s="10" t="s">
        <v>25</v>
      </c>
      <c r="B16" s="71" t="s">
        <v>36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t="s">
        <v>184</v>
      </c>
      <c r="Q16" s="72" t="s">
        <v>157</v>
      </c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spans="1:17" ht="20.25" customHeight="1" x14ac:dyDescent="0.2">
      <c r="A17" s="11" t="s">
        <v>28</v>
      </c>
      <c r="B17" s="73" t="s">
        <v>31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t="s">
        <v>39</v>
      </c>
    </row>
    <row r="18" spans="1:17" ht="20.25" customHeight="1" x14ac:dyDescent="0.2">
      <c r="A18" s="6" t="s">
        <v>30</v>
      </c>
      <c r="B18" s="73" t="s">
        <v>26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t="s">
        <v>161</v>
      </c>
    </row>
    <row r="19" spans="1:17" ht="21.75" customHeight="1" x14ac:dyDescent="0.2">
      <c r="A19" s="12" t="s">
        <v>32</v>
      </c>
      <c r="B19" s="74" t="s">
        <v>185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t="s">
        <v>153</v>
      </c>
    </row>
    <row r="20" spans="1:17" ht="21" customHeight="1" x14ac:dyDescent="0.2">
      <c r="A20" s="9" t="s">
        <v>33</v>
      </c>
      <c r="B20" s="48" t="s">
        <v>186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t="s">
        <v>187</v>
      </c>
    </row>
    <row r="21" spans="1:17" ht="21" customHeight="1" x14ac:dyDescent="0.2">
      <c r="A21" s="9" t="s">
        <v>35</v>
      </c>
      <c r="B21" s="48" t="s">
        <v>188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t="s">
        <v>189</v>
      </c>
    </row>
    <row r="22" spans="1:17" ht="21" customHeight="1" x14ac:dyDescent="0.2">
      <c r="A22" s="9" t="s">
        <v>37</v>
      </c>
      <c r="B22" s="48" t="s">
        <v>190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t="s">
        <v>163</v>
      </c>
    </row>
    <row r="23" spans="1:17" ht="21" customHeight="1" x14ac:dyDescent="0.2">
      <c r="A23" s="9"/>
      <c r="B23" s="70" t="s">
        <v>191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t="s">
        <v>192</v>
      </c>
      <c r="Q23" t="s">
        <v>156</v>
      </c>
    </row>
    <row r="24" spans="1:17" ht="21" customHeight="1" x14ac:dyDescent="0.2">
      <c r="A24" s="9" t="s">
        <v>40</v>
      </c>
      <c r="B24" s="48" t="s">
        <v>193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t="s">
        <v>194</v>
      </c>
    </row>
    <row r="25" spans="1:17" ht="21.75" customHeight="1" x14ac:dyDescent="0.2">
      <c r="A25" s="12" t="s">
        <v>42</v>
      </c>
      <c r="B25" s="67" t="s">
        <v>195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</row>
    <row r="26" spans="1:17" ht="21" customHeight="1" x14ac:dyDescent="0.2">
      <c r="A26" s="13" t="s">
        <v>43</v>
      </c>
      <c r="B26" s="68" t="s">
        <v>196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t="s">
        <v>47</v>
      </c>
    </row>
    <row r="27" spans="1:17" ht="21" customHeight="1" x14ac:dyDescent="0.2">
      <c r="A27" s="13"/>
      <c r="B27" s="69" t="s">
        <v>197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t="s">
        <v>198</v>
      </c>
      <c r="Q27" t="s">
        <v>156</v>
      </c>
    </row>
    <row r="28" spans="1:17" ht="21" customHeight="1" x14ac:dyDescent="0.2">
      <c r="A28" s="9" t="s">
        <v>45</v>
      </c>
      <c r="B28" s="48" t="s">
        <v>199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t="s">
        <v>50</v>
      </c>
    </row>
    <row r="29" spans="1:17" ht="21" customHeight="1" x14ac:dyDescent="0.2">
      <c r="A29" s="9" t="s">
        <v>48</v>
      </c>
      <c r="B29" s="48" t="s">
        <v>200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t="s">
        <v>53</v>
      </c>
    </row>
    <row r="30" spans="1:17" ht="21" customHeight="1" x14ac:dyDescent="0.2">
      <c r="A30" s="14" t="s">
        <v>201</v>
      </c>
      <c r="B30" s="62" t="s">
        <v>202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t="s">
        <v>56</v>
      </c>
    </row>
    <row r="31" spans="1:17" ht="21" customHeight="1" x14ac:dyDescent="0.2">
      <c r="A31" s="14"/>
      <c r="B31" s="63" t="s">
        <v>203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t="s">
        <v>204</v>
      </c>
      <c r="Q31" t="s">
        <v>156</v>
      </c>
    </row>
    <row r="32" spans="1:17" ht="20.25" customHeight="1" x14ac:dyDescent="0.2">
      <c r="A32" s="15" t="s">
        <v>205</v>
      </c>
      <c r="B32" s="64" t="s">
        <v>206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t="s">
        <v>59</v>
      </c>
    </row>
    <row r="33" spans="1:16" ht="21" customHeight="1" x14ac:dyDescent="0.2">
      <c r="A33" s="16"/>
      <c r="B33" s="65" t="s">
        <v>207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t="s">
        <v>208</v>
      </c>
    </row>
    <row r="34" spans="1:16" ht="21" customHeight="1" x14ac:dyDescent="0.2">
      <c r="A34" s="17" t="s">
        <v>62</v>
      </c>
      <c r="B34" s="66" t="s">
        <v>209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5" spans="1:16" ht="20.25" customHeight="1" x14ac:dyDescent="0.2">
      <c r="A35" s="18" t="s">
        <v>63</v>
      </c>
      <c r="B35" s="60" t="s">
        <v>210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</row>
    <row r="36" spans="1:16" ht="21" customHeight="1" x14ac:dyDescent="0.2">
      <c r="A36" s="8" t="s">
        <v>64</v>
      </c>
      <c r="B36" s="61" t="s">
        <v>211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t="s">
        <v>212</v>
      </c>
    </row>
    <row r="37" spans="1:16" ht="21" customHeight="1" x14ac:dyDescent="0.2">
      <c r="A37" s="8" t="s">
        <v>65</v>
      </c>
      <c r="B37" s="57" t="s">
        <v>213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t="s">
        <v>214</v>
      </c>
    </row>
    <row r="38" spans="1:16" ht="21" customHeight="1" x14ac:dyDescent="0.2">
      <c r="A38" s="19" t="s">
        <v>215</v>
      </c>
      <c r="B38" s="57" t="s">
        <v>216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t="s">
        <v>155</v>
      </c>
    </row>
    <row r="39" spans="1:16" ht="20.25" customHeight="1" x14ac:dyDescent="0.2">
      <c r="A39" s="18" t="s">
        <v>66</v>
      </c>
      <c r="B39" s="60" t="s">
        <v>67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</row>
    <row r="40" spans="1:16" ht="21" customHeight="1" x14ac:dyDescent="0.2">
      <c r="A40" s="19" t="s">
        <v>68</v>
      </c>
      <c r="B40" s="57" t="s">
        <v>72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t="s">
        <v>73</v>
      </c>
    </row>
    <row r="41" spans="1:16" ht="21" customHeight="1" x14ac:dyDescent="0.2">
      <c r="A41" s="19" t="s">
        <v>71</v>
      </c>
      <c r="B41" s="57" t="s">
        <v>217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t="s">
        <v>164</v>
      </c>
    </row>
    <row r="42" spans="1:16" ht="21" customHeight="1" x14ac:dyDescent="0.2">
      <c r="A42" s="20" t="s">
        <v>74</v>
      </c>
      <c r="B42" s="58" t="s">
        <v>218</v>
      </c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t="s">
        <v>88</v>
      </c>
    </row>
    <row r="43" spans="1:16" ht="21" customHeight="1" x14ac:dyDescent="0.2">
      <c r="A43" s="3" t="s">
        <v>76</v>
      </c>
      <c r="B43" s="59" t="s">
        <v>219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t="s">
        <v>70</v>
      </c>
    </row>
    <row r="44" spans="1:16" ht="21" customHeight="1" x14ac:dyDescent="0.2">
      <c r="A44" s="4" t="s">
        <v>220</v>
      </c>
      <c r="B44" s="57" t="s">
        <v>221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t="s">
        <v>162</v>
      </c>
    </row>
    <row r="45" spans="1:16" ht="24" customHeight="1" x14ac:dyDescent="0.2">
      <c r="A45" s="21" t="s">
        <v>77</v>
      </c>
      <c r="B45" s="49" t="s">
        <v>222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t="s">
        <v>223</v>
      </c>
    </row>
    <row r="46" spans="1:16" ht="24" customHeight="1" x14ac:dyDescent="0.2">
      <c r="A46" s="21" t="s">
        <v>82</v>
      </c>
      <c r="B46" s="49" t="s">
        <v>224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t="s">
        <v>165</v>
      </c>
    </row>
    <row r="47" spans="1:16" ht="20.25" customHeight="1" x14ac:dyDescent="0.2">
      <c r="A47" s="21" t="s">
        <v>102</v>
      </c>
      <c r="B47" s="55" t="s">
        <v>225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t="s">
        <v>93</v>
      </c>
    </row>
    <row r="48" spans="1:16" ht="20.25" customHeight="1" x14ac:dyDescent="0.2">
      <c r="A48" s="21"/>
      <c r="B48" s="56" t="s">
        <v>226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t="s">
        <v>227</v>
      </c>
    </row>
    <row r="49" spans="1:16" ht="24" customHeight="1" x14ac:dyDescent="0.2">
      <c r="A49" s="21" t="s">
        <v>111</v>
      </c>
      <c r="B49" s="49" t="s">
        <v>228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1:16" ht="21" customHeight="1" x14ac:dyDescent="0.2">
      <c r="A50" s="9" t="s">
        <v>112</v>
      </c>
      <c r="B50" s="48" t="s">
        <v>229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t="s">
        <v>85</v>
      </c>
    </row>
    <row r="51" spans="1:16" ht="21" customHeight="1" x14ac:dyDescent="0.2">
      <c r="A51" s="9" t="s">
        <v>114</v>
      </c>
      <c r="B51" s="48" t="s">
        <v>230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t="s">
        <v>110</v>
      </c>
    </row>
    <row r="52" spans="1:16" ht="21" customHeight="1" x14ac:dyDescent="0.2">
      <c r="A52" s="9" t="s">
        <v>116</v>
      </c>
      <c r="B52" s="50" t="s">
        <v>231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t="s">
        <v>232</v>
      </c>
    </row>
    <row r="53" spans="1:16" ht="24" customHeight="1" x14ac:dyDescent="0.2">
      <c r="A53" s="9" t="s">
        <v>121</v>
      </c>
      <c r="B53" s="49" t="s">
        <v>233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6" ht="21" customHeight="1" x14ac:dyDescent="0.2">
      <c r="A54" s="13" t="s">
        <v>122</v>
      </c>
      <c r="B54" s="54" t="s">
        <v>234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t="s">
        <v>130</v>
      </c>
    </row>
    <row r="55" spans="1:16" ht="21" customHeight="1" x14ac:dyDescent="0.2">
      <c r="A55" s="9" t="s">
        <v>125</v>
      </c>
      <c r="B55" s="50" t="s">
        <v>235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t="s">
        <v>236</v>
      </c>
    </row>
    <row r="56" spans="1:16" ht="21" customHeight="1" x14ac:dyDescent="0.2">
      <c r="A56" s="9" t="s">
        <v>128</v>
      </c>
      <c r="B56" s="53" t="s">
        <v>237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t="s">
        <v>120</v>
      </c>
    </row>
    <row r="57" spans="1:16" ht="21" customHeight="1" x14ac:dyDescent="0.2">
      <c r="A57" s="21" t="s">
        <v>135</v>
      </c>
      <c r="B57" s="52" t="s">
        <v>238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</row>
    <row r="58" spans="1:16" ht="21" customHeight="1" x14ac:dyDescent="0.2">
      <c r="A58" s="9" t="s">
        <v>136</v>
      </c>
      <c r="B58" s="48" t="s">
        <v>239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t="s">
        <v>124</v>
      </c>
    </row>
    <row r="59" spans="1:16" ht="21" customHeight="1" x14ac:dyDescent="0.2">
      <c r="A59" s="22" t="s">
        <v>140</v>
      </c>
      <c r="B59" s="50" t="s">
        <v>240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t="s">
        <v>241</v>
      </c>
    </row>
    <row r="60" spans="1:16" ht="21" customHeight="1" x14ac:dyDescent="0.2">
      <c r="A60" s="9" t="s">
        <v>142</v>
      </c>
      <c r="B60" s="52" t="s">
        <v>242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t="s">
        <v>153</v>
      </c>
    </row>
    <row r="61" spans="1:16" ht="21" customHeight="1" x14ac:dyDescent="0.2">
      <c r="A61" s="9" t="s">
        <v>143</v>
      </c>
      <c r="B61" s="48" t="s">
        <v>243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t="s">
        <v>127</v>
      </c>
    </row>
    <row r="62" spans="1:16" ht="21" customHeight="1" x14ac:dyDescent="0.2">
      <c r="A62" s="9" t="s">
        <v>145</v>
      </c>
      <c r="B62" s="48" t="s">
        <v>244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t="s">
        <v>166</v>
      </c>
    </row>
    <row r="63" spans="1:16" ht="21" customHeight="1" x14ac:dyDescent="0.2">
      <c r="A63" s="9" t="s">
        <v>245</v>
      </c>
      <c r="B63" s="52" t="s">
        <v>246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</row>
    <row r="64" spans="1:16" ht="21" customHeight="1" x14ac:dyDescent="0.2">
      <c r="A64" s="9" t="s">
        <v>247</v>
      </c>
      <c r="B64" s="48" t="s">
        <v>248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t="s">
        <v>105</v>
      </c>
    </row>
    <row r="65" spans="1:16" ht="21" customHeight="1" x14ac:dyDescent="0.2">
      <c r="A65" s="9" t="s">
        <v>249</v>
      </c>
      <c r="B65" s="48" t="s">
        <v>250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t="s">
        <v>167</v>
      </c>
    </row>
    <row r="66" spans="1:16" ht="24" customHeight="1" x14ac:dyDescent="0.2">
      <c r="A66" s="9" t="s">
        <v>251</v>
      </c>
      <c r="B66" s="49" t="s">
        <v>252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</row>
    <row r="67" spans="1:16" ht="30.75" customHeight="1" x14ac:dyDescent="0.2">
      <c r="A67" s="9" t="s">
        <v>253</v>
      </c>
      <c r="B67" s="48" t="s">
        <v>254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t="s">
        <v>75</v>
      </c>
    </row>
    <row r="68" spans="1:16" ht="21" customHeight="1" x14ac:dyDescent="0.2">
      <c r="A68" s="9" t="s">
        <v>255</v>
      </c>
      <c r="B68" s="50" t="s">
        <v>256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t="s">
        <v>257</v>
      </c>
    </row>
    <row r="69" spans="1:16" ht="21" customHeight="1" x14ac:dyDescent="0.2">
      <c r="A69" s="23" t="s">
        <v>149</v>
      </c>
      <c r="B69" s="51" t="s">
        <v>150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</row>
    <row r="70" spans="1:16" ht="21" customHeight="1" x14ac:dyDescent="0.2">
      <c r="A70" s="9" t="s">
        <v>151</v>
      </c>
      <c r="B70" s="46" t="s">
        <v>152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t="s">
        <v>258</v>
      </c>
    </row>
    <row r="71" spans="1:16" ht="21" customHeight="1" x14ac:dyDescent="0.2">
      <c r="A71" s="24" t="s">
        <v>154</v>
      </c>
      <c r="B71" s="47" t="s">
        <v>259</v>
      </c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t="s">
        <v>260</v>
      </c>
    </row>
  </sheetData>
  <mergeCells count="72">
    <mergeCell ref="B1:O1"/>
    <mergeCell ref="B2:O2"/>
    <mergeCell ref="B3:O3"/>
    <mergeCell ref="B4:O4"/>
    <mergeCell ref="B5:O5"/>
    <mergeCell ref="B6:O6"/>
    <mergeCell ref="B7:O7"/>
    <mergeCell ref="B8:O8"/>
    <mergeCell ref="B9:O9"/>
    <mergeCell ref="B10:O10"/>
    <mergeCell ref="B11:O11"/>
    <mergeCell ref="B12:O12"/>
    <mergeCell ref="B13:O13"/>
    <mergeCell ref="B14:O14"/>
    <mergeCell ref="B15:O15"/>
    <mergeCell ref="B16:O16"/>
    <mergeCell ref="Q16:AA16"/>
    <mergeCell ref="B17:O17"/>
    <mergeCell ref="B18:O18"/>
    <mergeCell ref="B19:O19"/>
    <mergeCell ref="B20:O20"/>
    <mergeCell ref="B21:O21"/>
    <mergeCell ref="B22:O22"/>
    <mergeCell ref="B23:O23"/>
    <mergeCell ref="B24:O24"/>
    <mergeCell ref="B25:O25"/>
    <mergeCell ref="B26:O26"/>
    <mergeCell ref="B27:O27"/>
    <mergeCell ref="B28:O28"/>
    <mergeCell ref="B29:O29"/>
    <mergeCell ref="B30:O30"/>
    <mergeCell ref="B31:O31"/>
    <mergeCell ref="B32:O32"/>
    <mergeCell ref="B33:O33"/>
    <mergeCell ref="B34:O34"/>
    <mergeCell ref="B35:O35"/>
    <mergeCell ref="B36:O36"/>
    <mergeCell ref="B37:O37"/>
    <mergeCell ref="B38:O38"/>
    <mergeCell ref="B39:O39"/>
    <mergeCell ref="B40:O40"/>
    <mergeCell ref="B41:O41"/>
    <mergeCell ref="B42:O42"/>
    <mergeCell ref="B43:O43"/>
    <mergeCell ref="B44:O44"/>
    <mergeCell ref="B45:O45"/>
    <mergeCell ref="B46:O46"/>
    <mergeCell ref="B47:O47"/>
    <mergeCell ref="B48:O48"/>
    <mergeCell ref="B49:O49"/>
    <mergeCell ref="B50:O50"/>
    <mergeCell ref="B51:O51"/>
    <mergeCell ref="B52:O52"/>
    <mergeCell ref="B53:O53"/>
    <mergeCell ref="B54:O54"/>
    <mergeCell ref="B55:O55"/>
    <mergeCell ref="B56:O56"/>
    <mergeCell ref="B57:O57"/>
    <mergeCell ref="B58:O58"/>
    <mergeCell ref="B59:O59"/>
    <mergeCell ref="B60:O60"/>
    <mergeCell ref="B61:O61"/>
    <mergeCell ref="B62:O62"/>
    <mergeCell ref="B63:O63"/>
    <mergeCell ref="B64:O64"/>
    <mergeCell ref="B70:O70"/>
    <mergeCell ref="B71:O71"/>
    <mergeCell ref="B65:O65"/>
    <mergeCell ref="B66:O66"/>
    <mergeCell ref="B67:O67"/>
    <mergeCell ref="B68:O68"/>
    <mergeCell ref="B69:O6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Q9"/>
  <sheetViews>
    <sheetView showZeros="0" zoomScale="40" zoomScaleNormal="40" workbookViewId="0"/>
  </sheetViews>
  <sheetFormatPr defaultColWidth="9.140625" defaultRowHeight="12.75" x14ac:dyDescent="0.2"/>
  <cols>
    <col min="4" max="4" width="14" customWidth="1"/>
  </cols>
  <sheetData>
    <row r="3" spans="4:17" x14ac:dyDescent="0.2"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6" spans="4:17" ht="30.75" customHeight="1" x14ac:dyDescent="0.2"/>
    <row r="7" spans="4:17" ht="30.75" customHeight="1" x14ac:dyDescent="0.2"/>
    <row r="8" spans="4:17" ht="30" customHeight="1" x14ac:dyDescent="0.2"/>
    <row r="9" spans="4:17" ht="30" customHeight="1" x14ac:dyDescent="0.2"/>
  </sheetData>
  <mergeCells count="1">
    <mergeCell ref="D3:Q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P39"/>
  <sheetViews>
    <sheetView showZeros="0" zoomScale="40" zoomScaleNormal="40" workbookViewId="0">
      <selection activeCell="C9" sqref="C9"/>
    </sheetView>
  </sheetViews>
  <sheetFormatPr defaultColWidth="9.140625" defaultRowHeight="12.75" x14ac:dyDescent="0.2"/>
  <cols>
    <col min="3" max="3" width="27" customWidth="1"/>
    <col min="13" max="13" width="9.5703125" customWidth="1"/>
  </cols>
  <sheetData>
    <row r="4" spans="2:16" x14ac:dyDescent="0.2">
      <c r="J4">
        <f>114*1.5</f>
        <v>171</v>
      </c>
      <c r="K4">
        <f>J4:J4/40</f>
        <v>4.2750000000000004</v>
      </c>
      <c r="N4">
        <f>240/136</f>
        <v>1.7647058823529411</v>
      </c>
      <c r="O4">
        <f>204/6</f>
        <v>34</v>
      </c>
      <c r="P4">
        <f>188800/3442</f>
        <v>54.851830331202791</v>
      </c>
    </row>
    <row r="6" spans="2:16" x14ac:dyDescent="0.2">
      <c r="H6" t="s">
        <v>261</v>
      </c>
      <c r="I6" t="s">
        <v>262</v>
      </c>
    </row>
    <row r="7" spans="2:16" x14ac:dyDescent="0.2">
      <c r="B7">
        <v>1</v>
      </c>
      <c r="C7" t="s">
        <v>263</v>
      </c>
      <c r="F7">
        <v>32</v>
      </c>
      <c r="G7">
        <f t="shared" ref="G7:G32" si="0">SUM(D7:F7)</f>
        <v>32</v>
      </c>
      <c r="I7">
        <v>3</v>
      </c>
      <c r="J7">
        <f t="shared" ref="J7:J30" si="1">G7*2.2</f>
        <v>70.400000000000006</v>
      </c>
      <c r="K7" s="25">
        <f>G7*2.2</f>
        <v>70.400000000000006</v>
      </c>
      <c r="M7" s="26">
        <f t="shared" ref="M7:M30" si="2">K7/36</f>
        <v>1.9555555555555557</v>
      </c>
      <c r="N7">
        <v>2</v>
      </c>
    </row>
    <row r="8" spans="2:16" x14ac:dyDescent="0.2">
      <c r="B8">
        <v>2</v>
      </c>
      <c r="C8" t="s">
        <v>264</v>
      </c>
      <c r="D8">
        <v>16</v>
      </c>
      <c r="F8">
        <v>18</v>
      </c>
      <c r="G8">
        <f t="shared" si="0"/>
        <v>34</v>
      </c>
      <c r="I8">
        <v>4</v>
      </c>
      <c r="J8">
        <f t="shared" si="1"/>
        <v>74.800000000000011</v>
      </c>
      <c r="K8" s="25">
        <f>G8*2.2</f>
        <v>74.800000000000011</v>
      </c>
      <c r="M8" s="26">
        <f t="shared" si="2"/>
        <v>2.0777777777777779</v>
      </c>
      <c r="N8">
        <v>2</v>
      </c>
    </row>
    <row r="9" spans="2:16" x14ac:dyDescent="0.2">
      <c r="B9">
        <v>3</v>
      </c>
      <c r="C9" t="s">
        <v>265</v>
      </c>
      <c r="D9">
        <v>16</v>
      </c>
      <c r="F9">
        <v>18</v>
      </c>
      <c r="G9">
        <f t="shared" si="0"/>
        <v>34</v>
      </c>
      <c r="I9">
        <v>5</v>
      </c>
      <c r="J9">
        <f t="shared" si="1"/>
        <v>74.800000000000011</v>
      </c>
      <c r="K9" s="25">
        <f>G9*2.2</f>
        <v>74.800000000000011</v>
      </c>
      <c r="M9" s="26">
        <f t="shared" si="2"/>
        <v>2.0777777777777779</v>
      </c>
      <c r="N9">
        <v>2</v>
      </c>
    </row>
    <row r="10" spans="2:16" x14ac:dyDescent="0.2">
      <c r="B10">
        <v>4</v>
      </c>
      <c r="C10" t="s">
        <v>266</v>
      </c>
      <c r="D10">
        <v>34</v>
      </c>
      <c r="E10">
        <v>32</v>
      </c>
      <c r="F10" t="s">
        <v>10</v>
      </c>
      <c r="G10">
        <f t="shared" si="0"/>
        <v>66</v>
      </c>
      <c r="H10">
        <v>1</v>
      </c>
      <c r="J10">
        <f t="shared" si="1"/>
        <v>145.20000000000002</v>
      </c>
      <c r="K10" s="25">
        <f>G10*2.2</f>
        <v>145.20000000000002</v>
      </c>
      <c r="M10" s="26">
        <f t="shared" si="2"/>
        <v>4.0333333333333341</v>
      </c>
      <c r="N10">
        <v>4</v>
      </c>
    </row>
    <row r="11" spans="2:16" x14ac:dyDescent="0.2">
      <c r="B11">
        <v>5</v>
      </c>
      <c r="C11" t="s">
        <v>267</v>
      </c>
      <c r="D11">
        <v>32</v>
      </c>
      <c r="F11">
        <v>16</v>
      </c>
      <c r="G11">
        <f t="shared" si="0"/>
        <v>48</v>
      </c>
      <c r="I11">
        <v>6</v>
      </c>
      <c r="J11">
        <f t="shared" si="1"/>
        <v>105.60000000000001</v>
      </c>
      <c r="K11" s="25">
        <f>G11*2.2</f>
        <v>105.60000000000001</v>
      </c>
      <c r="M11" s="26">
        <f t="shared" si="2"/>
        <v>2.9333333333333336</v>
      </c>
      <c r="N11">
        <v>3</v>
      </c>
    </row>
    <row r="12" spans="2:16" x14ac:dyDescent="0.2">
      <c r="B12">
        <v>6</v>
      </c>
      <c r="C12" t="s">
        <v>268</v>
      </c>
      <c r="D12">
        <v>24</v>
      </c>
      <c r="E12">
        <v>32</v>
      </c>
      <c r="F12" t="s">
        <v>10</v>
      </c>
      <c r="G12">
        <f t="shared" si="0"/>
        <v>56</v>
      </c>
      <c r="I12">
        <v>2</v>
      </c>
      <c r="J12">
        <f t="shared" si="1"/>
        <v>123.20000000000002</v>
      </c>
      <c r="K12" s="25">
        <v>110</v>
      </c>
      <c r="M12" s="26">
        <f t="shared" si="2"/>
        <v>3.0555555555555554</v>
      </c>
      <c r="N12">
        <v>3</v>
      </c>
    </row>
    <row r="13" spans="2:16" x14ac:dyDescent="0.2">
      <c r="B13">
        <v>7</v>
      </c>
      <c r="C13" t="s">
        <v>269</v>
      </c>
      <c r="D13">
        <v>18</v>
      </c>
      <c r="F13">
        <v>16</v>
      </c>
      <c r="G13">
        <f t="shared" si="0"/>
        <v>34</v>
      </c>
      <c r="I13">
        <v>7</v>
      </c>
      <c r="J13">
        <f t="shared" si="1"/>
        <v>74.800000000000011</v>
      </c>
      <c r="K13" s="25">
        <f>G13*2.2</f>
        <v>74.800000000000011</v>
      </c>
      <c r="M13" s="26">
        <f t="shared" si="2"/>
        <v>2.0777777777777779</v>
      </c>
      <c r="N13">
        <v>2</v>
      </c>
    </row>
    <row r="14" spans="2:16" x14ac:dyDescent="0.2">
      <c r="B14">
        <v>8</v>
      </c>
      <c r="C14" t="s">
        <v>270</v>
      </c>
      <c r="D14">
        <v>24</v>
      </c>
      <c r="E14">
        <v>28</v>
      </c>
      <c r="G14">
        <f t="shared" si="0"/>
        <v>52</v>
      </c>
      <c r="H14">
        <v>4</v>
      </c>
      <c r="J14">
        <f t="shared" si="1"/>
        <v>114.4</v>
      </c>
      <c r="K14" s="25">
        <v>110</v>
      </c>
      <c r="M14" s="26">
        <f t="shared" si="2"/>
        <v>3.0555555555555554</v>
      </c>
      <c r="N14">
        <v>3</v>
      </c>
    </row>
    <row r="15" spans="2:16" x14ac:dyDescent="0.2">
      <c r="B15">
        <v>9</v>
      </c>
      <c r="C15" t="s">
        <v>271</v>
      </c>
      <c r="D15">
        <v>64</v>
      </c>
      <c r="E15">
        <v>64</v>
      </c>
      <c r="G15">
        <f t="shared" si="0"/>
        <v>128</v>
      </c>
      <c r="H15">
        <v>3.4</v>
      </c>
      <c r="J15">
        <f t="shared" si="1"/>
        <v>281.60000000000002</v>
      </c>
      <c r="K15" s="25">
        <f>G15*2.2</f>
        <v>281.60000000000002</v>
      </c>
      <c r="M15" s="26">
        <f t="shared" si="2"/>
        <v>7.8222222222222229</v>
      </c>
      <c r="N15">
        <v>8</v>
      </c>
    </row>
    <row r="16" spans="2:16" x14ac:dyDescent="0.2">
      <c r="B16">
        <v>10</v>
      </c>
      <c r="C16" t="s">
        <v>272</v>
      </c>
      <c r="D16">
        <v>56</v>
      </c>
      <c r="E16">
        <v>32</v>
      </c>
      <c r="F16">
        <v>16</v>
      </c>
      <c r="G16">
        <f t="shared" si="0"/>
        <v>104</v>
      </c>
      <c r="H16">
        <v>5</v>
      </c>
      <c r="I16">
        <v>4</v>
      </c>
      <c r="J16">
        <f t="shared" si="1"/>
        <v>228.8</v>
      </c>
      <c r="K16" s="25">
        <v>220</v>
      </c>
      <c r="M16" s="26">
        <f t="shared" si="2"/>
        <v>6.1111111111111107</v>
      </c>
      <c r="N16">
        <v>6</v>
      </c>
    </row>
    <row r="17" spans="2:16" x14ac:dyDescent="0.2">
      <c r="B17">
        <v>11</v>
      </c>
      <c r="C17" t="s">
        <v>273</v>
      </c>
      <c r="D17">
        <v>32</v>
      </c>
      <c r="E17">
        <v>28</v>
      </c>
      <c r="G17">
        <f t="shared" si="0"/>
        <v>60</v>
      </c>
      <c r="H17">
        <v>5</v>
      </c>
      <c r="J17">
        <f t="shared" si="1"/>
        <v>132</v>
      </c>
      <c r="K17" s="25">
        <f>G17*2.2</f>
        <v>132</v>
      </c>
      <c r="M17" s="26">
        <f t="shared" si="2"/>
        <v>3.6666666666666665</v>
      </c>
      <c r="N17">
        <v>4</v>
      </c>
    </row>
    <row r="18" spans="2:16" x14ac:dyDescent="0.2">
      <c r="B18">
        <v>12</v>
      </c>
      <c r="C18" t="s">
        <v>274</v>
      </c>
      <c r="D18">
        <v>38</v>
      </c>
      <c r="E18">
        <v>32</v>
      </c>
      <c r="G18">
        <f t="shared" si="0"/>
        <v>70</v>
      </c>
      <c r="I18">
        <v>7</v>
      </c>
      <c r="J18">
        <f t="shared" si="1"/>
        <v>154</v>
      </c>
      <c r="K18" s="25">
        <v>150</v>
      </c>
      <c r="M18" s="26">
        <f t="shared" si="2"/>
        <v>4.166666666666667</v>
      </c>
      <c r="N18">
        <v>4</v>
      </c>
    </row>
    <row r="19" spans="2:16" x14ac:dyDescent="0.2">
      <c r="B19">
        <v>13</v>
      </c>
      <c r="C19" t="s">
        <v>275</v>
      </c>
      <c r="D19">
        <v>32</v>
      </c>
      <c r="E19">
        <v>24</v>
      </c>
      <c r="G19">
        <f t="shared" si="0"/>
        <v>56</v>
      </c>
      <c r="H19">
        <v>6</v>
      </c>
      <c r="J19">
        <f t="shared" si="1"/>
        <v>123.20000000000002</v>
      </c>
      <c r="K19" s="25">
        <f t="shared" ref="K19:K24" si="3">G19*2.2</f>
        <v>123.20000000000002</v>
      </c>
      <c r="M19" s="26">
        <f t="shared" si="2"/>
        <v>3.4222222222222225</v>
      </c>
      <c r="N19">
        <v>3</v>
      </c>
    </row>
    <row r="20" spans="2:16" x14ac:dyDescent="0.2">
      <c r="B20">
        <v>14</v>
      </c>
      <c r="C20" t="s">
        <v>276</v>
      </c>
      <c r="D20">
        <v>68</v>
      </c>
      <c r="E20">
        <v>64</v>
      </c>
      <c r="F20" t="s">
        <v>10</v>
      </c>
      <c r="G20">
        <f t="shared" si="0"/>
        <v>132</v>
      </c>
      <c r="H20">
        <v>6</v>
      </c>
      <c r="I20">
        <v>5</v>
      </c>
      <c r="J20">
        <f t="shared" si="1"/>
        <v>290.40000000000003</v>
      </c>
      <c r="K20" s="25">
        <f t="shared" si="3"/>
        <v>290.40000000000003</v>
      </c>
      <c r="M20" s="26">
        <f t="shared" si="2"/>
        <v>8.0666666666666682</v>
      </c>
      <c r="N20">
        <v>8</v>
      </c>
    </row>
    <row r="21" spans="2:16" x14ac:dyDescent="0.2">
      <c r="B21">
        <v>15</v>
      </c>
      <c r="C21" t="s">
        <v>277</v>
      </c>
      <c r="D21">
        <v>32</v>
      </c>
      <c r="E21">
        <v>16</v>
      </c>
      <c r="F21">
        <v>16</v>
      </c>
      <c r="G21">
        <f t="shared" si="0"/>
        <v>64</v>
      </c>
      <c r="I21">
        <v>6</v>
      </c>
      <c r="J21">
        <f t="shared" si="1"/>
        <v>140.80000000000001</v>
      </c>
      <c r="K21" s="25">
        <f t="shared" si="3"/>
        <v>140.80000000000001</v>
      </c>
      <c r="M21" s="26">
        <f t="shared" si="2"/>
        <v>3.9111111111111114</v>
      </c>
      <c r="N21">
        <v>4</v>
      </c>
    </row>
    <row r="22" spans="2:16" x14ac:dyDescent="0.2">
      <c r="B22">
        <v>16</v>
      </c>
      <c r="C22" t="s">
        <v>278</v>
      </c>
      <c r="D22">
        <v>32</v>
      </c>
      <c r="E22">
        <v>16</v>
      </c>
      <c r="F22">
        <v>16</v>
      </c>
      <c r="G22">
        <f t="shared" si="0"/>
        <v>64</v>
      </c>
      <c r="I22">
        <v>7</v>
      </c>
      <c r="J22">
        <f t="shared" si="1"/>
        <v>140.80000000000001</v>
      </c>
      <c r="K22" s="25">
        <f t="shared" si="3"/>
        <v>140.80000000000001</v>
      </c>
      <c r="M22" s="26">
        <f t="shared" si="2"/>
        <v>3.9111111111111114</v>
      </c>
      <c r="N22">
        <v>4</v>
      </c>
    </row>
    <row r="23" spans="2:16" x14ac:dyDescent="0.2">
      <c r="B23">
        <v>17</v>
      </c>
      <c r="C23" t="s">
        <v>279</v>
      </c>
      <c r="D23">
        <v>48</v>
      </c>
      <c r="E23">
        <v>32</v>
      </c>
      <c r="F23" t="s">
        <v>10</v>
      </c>
      <c r="G23">
        <f t="shared" si="0"/>
        <v>80</v>
      </c>
      <c r="H23">
        <v>6</v>
      </c>
      <c r="J23">
        <f t="shared" si="1"/>
        <v>176</v>
      </c>
      <c r="K23" s="25">
        <f t="shared" si="3"/>
        <v>176</v>
      </c>
      <c r="M23" s="26">
        <f t="shared" si="2"/>
        <v>4.8888888888888893</v>
      </c>
      <c r="N23">
        <v>5</v>
      </c>
    </row>
    <row r="24" spans="2:16" x14ac:dyDescent="0.2">
      <c r="B24">
        <v>18</v>
      </c>
      <c r="C24" t="s">
        <v>280</v>
      </c>
      <c r="D24">
        <v>32</v>
      </c>
      <c r="E24">
        <v>28</v>
      </c>
      <c r="G24">
        <f t="shared" si="0"/>
        <v>60</v>
      </c>
      <c r="H24">
        <v>4</v>
      </c>
      <c r="J24">
        <f t="shared" si="1"/>
        <v>132</v>
      </c>
      <c r="K24" s="25">
        <f t="shared" si="3"/>
        <v>132</v>
      </c>
      <c r="M24" s="26">
        <f t="shared" si="2"/>
        <v>3.6666666666666665</v>
      </c>
      <c r="N24">
        <v>4</v>
      </c>
    </row>
    <row r="25" spans="2:16" x14ac:dyDescent="0.2">
      <c r="B25">
        <v>19</v>
      </c>
      <c r="C25" t="s">
        <v>281</v>
      </c>
      <c r="D25">
        <v>36</v>
      </c>
      <c r="E25">
        <v>16</v>
      </c>
      <c r="F25">
        <v>16</v>
      </c>
      <c r="G25">
        <f t="shared" si="0"/>
        <v>68</v>
      </c>
      <c r="I25">
        <v>6</v>
      </c>
      <c r="J25">
        <f t="shared" si="1"/>
        <v>149.60000000000002</v>
      </c>
      <c r="K25" s="25">
        <v>145</v>
      </c>
      <c r="M25" s="26">
        <f t="shared" si="2"/>
        <v>4.0277777777777777</v>
      </c>
      <c r="N25">
        <v>4</v>
      </c>
    </row>
    <row r="26" spans="2:16" x14ac:dyDescent="0.2">
      <c r="B26">
        <v>20</v>
      </c>
      <c r="C26" t="s">
        <v>282</v>
      </c>
      <c r="D26">
        <v>32</v>
      </c>
      <c r="E26">
        <v>32</v>
      </c>
      <c r="G26">
        <f t="shared" si="0"/>
        <v>64</v>
      </c>
      <c r="H26">
        <v>6</v>
      </c>
      <c r="J26">
        <f t="shared" si="1"/>
        <v>140.80000000000001</v>
      </c>
      <c r="K26" s="25">
        <f>G26*2.2</f>
        <v>140.80000000000001</v>
      </c>
      <c r="M26" s="26">
        <f t="shared" si="2"/>
        <v>3.9111111111111114</v>
      </c>
      <c r="N26">
        <v>4</v>
      </c>
    </row>
    <row r="27" spans="2:16" x14ac:dyDescent="0.2">
      <c r="B27">
        <v>21</v>
      </c>
      <c r="C27" t="s">
        <v>283</v>
      </c>
      <c r="D27">
        <v>32</v>
      </c>
      <c r="E27">
        <v>28</v>
      </c>
      <c r="G27">
        <f t="shared" si="0"/>
        <v>60</v>
      </c>
      <c r="I27">
        <v>5</v>
      </c>
      <c r="J27">
        <f t="shared" si="1"/>
        <v>132</v>
      </c>
      <c r="K27" s="25">
        <f>G27*2.2</f>
        <v>132</v>
      </c>
      <c r="M27" s="26">
        <f t="shared" si="2"/>
        <v>3.6666666666666665</v>
      </c>
      <c r="N27">
        <v>3</v>
      </c>
    </row>
    <row r="28" spans="2:16" x14ac:dyDescent="0.2">
      <c r="B28">
        <v>22</v>
      </c>
      <c r="C28" t="s">
        <v>248</v>
      </c>
      <c r="D28">
        <v>32</v>
      </c>
      <c r="E28">
        <v>28</v>
      </c>
      <c r="F28">
        <v>16</v>
      </c>
      <c r="G28">
        <f t="shared" si="0"/>
        <v>76</v>
      </c>
      <c r="H28">
        <v>7</v>
      </c>
      <c r="J28">
        <f t="shared" si="1"/>
        <v>167.20000000000002</v>
      </c>
      <c r="K28" s="25">
        <f>G28*2.2</f>
        <v>167.20000000000002</v>
      </c>
      <c r="M28" s="26">
        <f t="shared" si="2"/>
        <v>4.6444444444444448</v>
      </c>
      <c r="N28">
        <v>4</v>
      </c>
    </row>
    <row r="29" spans="2:16" x14ac:dyDescent="0.2">
      <c r="B29">
        <v>23</v>
      </c>
      <c r="C29" t="s">
        <v>284</v>
      </c>
      <c r="D29">
        <v>24</v>
      </c>
      <c r="E29">
        <v>32</v>
      </c>
      <c r="G29">
        <f t="shared" si="0"/>
        <v>56</v>
      </c>
      <c r="H29">
        <v>7</v>
      </c>
      <c r="J29">
        <f t="shared" si="1"/>
        <v>123.20000000000002</v>
      </c>
      <c r="K29" s="25">
        <f>G29*2.2</f>
        <v>123.20000000000002</v>
      </c>
      <c r="M29" s="26">
        <f t="shared" si="2"/>
        <v>3.4222222222222225</v>
      </c>
      <c r="N29">
        <v>3</v>
      </c>
    </row>
    <row r="30" spans="2:16" x14ac:dyDescent="0.2">
      <c r="B30">
        <v>24</v>
      </c>
      <c r="C30" t="s">
        <v>285</v>
      </c>
      <c r="D30">
        <v>32</v>
      </c>
      <c r="E30" t="s">
        <v>10</v>
      </c>
      <c r="F30">
        <v>24</v>
      </c>
      <c r="G30">
        <f t="shared" si="0"/>
        <v>56</v>
      </c>
      <c r="I30">
        <v>7</v>
      </c>
      <c r="J30">
        <f t="shared" si="1"/>
        <v>123.20000000000002</v>
      </c>
      <c r="K30" s="25">
        <f>G30*2.2</f>
        <v>123.20000000000002</v>
      </c>
      <c r="M30" s="26">
        <f t="shared" si="2"/>
        <v>3.4222222222222225</v>
      </c>
      <c r="N30">
        <v>3</v>
      </c>
    </row>
    <row r="31" spans="2:16" x14ac:dyDescent="0.2">
      <c r="C31" t="s">
        <v>10</v>
      </c>
      <c r="D31">
        <f>SUM(D8:D30)</f>
        <v>786</v>
      </c>
      <c r="E31">
        <f>SUM(E8:E30)</f>
        <v>564</v>
      </c>
      <c r="F31">
        <f>SUM(F7:F30)</f>
        <v>204</v>
      </c>
      <c r="G31">
        <f t="shared" si="0"/>
        <v>1554</v>
      </c>
      <c r="K31" s="25">
        <f>SUM(K7:K30)</f>
        <v>3383.8</v>
      </c>
      <c r="M31" s="26">
        <f>SUM(M7:M30)</f>
        <v>93.99444444444444</v>
      </c>
      <c r="N31" s="26">
        <f>SUM(N7:N30)</f>
        <v>92</v>
      </c>
      <c r="P31" t="s">
        <v>10</v>
      </c>
    </row>
    <row r="32" spans="2:16" x14ac:dyDescent="0.2">
      <c r="D32">
        <v>786</v>
      </c>
      <c r="E32">
        <v>564</v>
      </c>
      <c r="F32">
        <v>204</v>
      </c>
      <c r="G32">
        <f t="shared" si="0"/>
        <v>1554</v>
      </c>
    </row>
    <row r="33" spans="4:11" x14ac:dyDescent="0.2">
      <c r="D33">
        <f>D32-D31</f>
        <v>0</v>
      </c>
      <c r="E33">
        <f>E32-E31</f>
        <v>0</v>
      </c>
      <c r="F33">
        <f>F32-F31</f>
        <v>0</v>
      </c>
    </row>
    <row r="37" spans="4:11" x14ac:dyDescent="0.2">
      <c r="D37">
        <v>1</v>
      </c>
      <c r="E37">
        <v>2</v>
      </c>
      <c r="F37">
        <v>3</v>
      </c>
      <c r="G37">
        <v>4</v>
      </c>
      <c r="H37">
        <v>5</v>
      </c>
      <c r="I37">
        <v>6</v>
      </c>
      <c r="J37">
        <v>7</v>
      </c>
    </row>
    <row r="38" spans="4:11" x14ac:dyDescent="0.2">
      <c r="D38">
        <v>17</v>
      </c>
      <c r="E38">
        <v>16</v>
      </c>
      <c r="F38">
        <v>17</v>
      </c>
      <c r="G38">
        <v>17</v>
      </c>
      <c r="H38">
        <v>16</v>
      </c>
      <c r="I38">
        <v>16</v>
      </c>
      <c r="J38">
        <v>17</v>
      </c>
      <c r="K38">
        <f>SUM(D38:J38)</f>
        <v>116</v>
      </c>
    </row>
    <row r="39" spans="4:11" x14ac:dyDescent="0.2">
      <c r="K39">
        <f>3436/116</f>
        <v>29.620689655172413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471A-3316-4A2A-9C40-4C8F9F78C9EF}">
  <dimension ref="A6:D12"/>
  <sheetViews>
    <sheetView workbookViewId="0">
      <selection activeCell="D12" sqref="A6:D12"/>
    </sheetView>
  </sheetViews>
  <sheetFormatPr defaultRowHeight="12.75" x14ac:dyDescent="0.2"/>
  <cols>
    <col min="1" max="1" width="23.85546875" customWidth="1"/>
    <col min="2" max="2" width="22.28515625" customWidth="1"/>
    <col min="3" max="3" width="28.7109375" customWidth="1"/>
    <col min="4" max="4" width="44.7109375" customWidth="1"/>
  </cols>
  <sheetData>
    <row r="6" spans="1:4" s="81" customFormat="1" ht="25.5" x14ac:dyDescent="0.2">
      <c r="A6" s="80" t="s">
        <v>300</v>
      </c>
      <c r="B6" s="80" t="s">
        <v>302</v>
      </c>
      <c r="C6" s="80" t="s">
        <v>301</v>
      </c>
      <c r="D6" s="80" t="s">
        <v>305</v>
      </c>
    </row>
    <row r="7" spans="1:4" x14ac:dyDescent="0.2">
      <c r="A7" s="79" t="s">
        <v>49</v>
      </c>
      <c r="B7" s="79">
        <v>1</v>
      </c>
      <c r="C7" s="79">
        <v>1</v>
      </c>
      <c r="D7" s="79" t="s">
        <v>303</v>
      </c>
    </row>
    <row r="8" spans="1:4" x14ac:dyDescent="0.2">
      <c r="A8" s="79" t="s">
        <v>49</v>
      </c>
      <c r="B8" s="79">
        <v>1</v>
      </c>
      <c r="C8" s="79">
        <v>6</v>
      </c>
      <c r="D8" s="79" t="s">
        <v>304</v>
      </c>
    </row>
    <row r="9" spans="1:4" x14ac:dyDescent="0.2">
      <c r="A9" s="79" t="s">
        <v>49</v>
      </c>
      <c r="B9" s="79">
        <v>2</v>
      </c>
      <c r="C9" s="79">
        <v>1</v>
      </c>
      <c r="D9" s="79" t="s">
        <v>303</v>
      </c>
    </row>
    <row r="10" spans="1:4" x14ac:dyDescent="0.2">
      <c r="A10" s="79" t="s">
        <v>49</v>
      </c>
      <c r="B10" s="79">
        <v>2</v>
      </c>
      <c r="C10" s="79">
        <v>6</v>
      </c>
      <c r="D10" s="79" t="s">
        <v>304</v>
      </c>
    </row>
    <row r="11" spans="1:4" x14ac:dyDescent="0.2">
      <c r="A11" s="79" t="s">
        <v>49</v>
      </c>
      <c r="B11" s="79">
        <v>3</v>
      </c>
      <c r="C11" s="79">
        <v>1</v>
      </c>
      <c r="D11" s="79" t="s">
        <v>304</v>
      </c>
    </row>
    <row r="12" spans="1:4" x14ac:dyDescent="0.2">
      <c r="A12" s="79" t="s">
        <v>49</v>
      </c>
      <c r="B12" s="79">
        <v>3</v>
      </c>
      <c r="C12" s="79">
        <v>6</v>
      </c>
      <c r="D12" s="79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8407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Примерный учебный план</vt:lpstr>
      <vt:lpstr>Лист1</vt:lpstr>
      <vt:lpstr>Лист2</vt:lpstr>
      <vt:lpstr>Лист3</vt:lpstr>
      <vt:lpstr>Лист4</vt:lpstr>
    </vt:vector>
  </TitlesOfParts>
  <Company>ВЦ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Маршалович В.Е.</dc:creator>
  <dc:description/>
  <cp:lastModifiedBy>ol as</cp:lastModifiedBy>
  <cp:revision>74</cp:revision>
  <cp:lastPrinted>2024-09-05T16:49:51Z</cp:lastPrinted>
  <dcterms:created xsi:type="dcterms:W3CDTF">1999-02-26T09:40:51Z</dcterms:created>
  <dcterms:modified xsi:type="dcterms:W3CDTF">2026-02-18T09:53:13Z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